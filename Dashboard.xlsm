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mar\Downloads\"/>
    </mc:Choice>
  </mc:AlternateContent>
  <xr:revisionPtr revIDLastSave="0" documentId="13_ncr:1_{BD309230-5552-480A-844C-EF46FD004D48}" xr6:coauthVersionLast="47" xr6:coauthVersionMax="47" xr10:uidLastSave="{00000000-0000-0000-0000-000000000000}"/>
  <bookViews>
    <workbookView xWindow="-120" yWindow="-120" windowWidth="20730" windowHeight="11160" tabRatio="748" xr2:uid="{00000000-000D-0000-FFFF-FFFF00000000}"/>
  </bookViews>
  <sheets>
    <sheet name="Settings" sheetId="11" r:id="rId1"/>
    <sheet name="Report Print" sheetId="12" state="hidden" r:id="rId2"/>
    <sheet name="Product_Master" sheetId="1" state="hidden" r:id="rId3"/>
    <sheet name="Sale_Purchase" sheetId="2" state="hidden" r:id="rId4"/>
    <sheet name="Sale_Purchase_Display" sheetId="9" state="hidden" r:id="rId5"/>
    <sheet name="Inventory" sheetId="3" state="hidden" r:id="rId6"/>
    <sheet name="Report" sheetId="5" state="hidden" r:id="rId7"/>
    <sheet name="Inventory_Display" sheetId="10" state="hidden" r:id="rId8"/>
  </sheets>
  <definedNames>
    <definedName name="_xlnm._FilterDatabase" localSheetId="5" hidden="1">Inventory!$A$1:$E$18</definedName>
    <definedName name="_xlnm._FilterDatabase" localSheetId="2" hidden="1">Product_Master!$A$1:$E$1</definedName>
    <definedName name="_xlnm._FilterDatabase" localSheetId="3" hidden="1">Sale_Purchase!$A$1:$H$33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" i="1"/>
  <c r="A33" i="2"/>
  <c r="A32" i="2"/>
  <c r="A31" i="2"/>
  <c r="A30" i="2"/>
  <c r="C6" i="5" l="1"/>
  <c r="C5" i="5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2" i="2"/>
  <c r="C9" i="5" l="1"/>
  <c r="C8" i="5"/>
  <c r="C7" i="5"/>
</calcChain>
</file>

<file path=xl/sharedStrings.xml><?xml version="1.0" encoding="utf-8"?>
<sst xmlns="http://schemas.openxmlformats.org/spreadsheetml/2006/main" count="446" uniqueCount="103">
  <si>
    <t>Product Name</t>
  </si>
  <si>
    <t>Type</t>
  </si>
  <si>
    <t>Quantity</t>
  </si>
  <si>
    <t>Date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</si>
  <si>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</si>
  <si>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</si>
  <si>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</si>
  <si>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</si>
  <si>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</si>
  <si>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</si>
  <si>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</si>
  <si>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</si>
  <si>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</si>
  <si>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</si>
  <si>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Product11</t>
  </si>
  <si>
    <t>Product12</t>
  </si>
  <si>
    <t>Product13</t>
  </si>
  <si>
    <t>Product14</t>
  </si>
  <si>
    <t>S.No</t>
  </si>
  <si>
    <t>Sale</t>
  </si>
  <si>
    <t>Purchase</t>
  </si>
  <si>
    <t>Amount</t>
  </si>
  <si>
    <t>Price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</si>
  <si>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</si>
  <si>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</si>
  <si>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</si>
  <si>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</si>
  <si>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</si>
  <si>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</si>
  <si>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</si>
  <si>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NA</t>
  </si>
  <si>
    <t>Notebook</t>
  </si>
  <si>
    <t>Inventory Report</t>
  </si>
  <si>
    <t>Available Stock Report by Product</t>
  </si>
  <si>
    <t>Product15</t>
  </si>
  <si>
    <t>Product16</t>
  </si>
  <si>
    <t>Product17</t>
  </si>
  <si>
    <t>Product18</t>
  </si>
  <si>
    <t>Product19</t>
  </si>
  <si>
    <t>Product20</t>
  </si>
  <si>
    <t>Product21</t>
  </si>
  <si>
    <t>Product22</t>
  </si>
  <si>
    <t xml:space="preserve">                GENERATED FOR SPARK THINKERS TEAM.</t>
  </si>
  <si>
    <t>Item ID</t>
  </si>
  <si>
    <t>Item Description</t>
  </si>
  <si>
    <t>Category</t>
  </si>
  <si>
    <t>Stock Location</t>
  </si>
  <si>
    <t>Inventory Date</t>
  </si>
  <si>
    <t>Stock QTY</t>
  </si>
  <si>
    <t>Unit Cost</t>
  </si>
  <si>
    <t>Total Value</t>
  </si>
  <si>
    <t>Stock_Qty</t>
  </si>
  <si>
    <t>AStock_Amt</t>
  </si>
  <si>
    <t>Tosay's date</t>
  </si>
  <si>
    <t>Today's date</t>
  </si>
  <si>
    <t>Rate</t>
  </si>
  <si>
    <t>Purchased item</t>
  </si>
  <si>
    <t>FLAT BAR 1/4X1.1/4 Inch A36</t>
  </si>
  <si>
    <t>LOCK WASHER M20</t>
  </si>
  <si>
    <t>LOCK WASHER M8</t>
  </si>
  <si>
    <t>BOLT ALLEN HEX 1/4X2pol</t>
  </si>
  <si>
    <t>BOLTSS12.090.01</t>
  </si>
  <si>
    <t>HEX NUT INOX 1 pol UNC</t>
  </si>
  <si>
    <t>HEX NUT GALVM10X1,5 GRB</t>
  </si>
  <si>
    <t>HEX NUT AISI310 M16</t>
  </si>
  <si>
    <t>WRENCH PHILIPS VDE 2160 PH4</t>
  </si>
  <si>
    <t>WRENCH SOCKET 12MM 33 GEDORE</t>
  </si>
  <si>
    <t>SCREWDRIVER2,5MM VDE2179</t>
  </si>
  <si>
    <t>HEX NUT INOX 2 pol UNC</t>
  </si>
  <si>
    <t>HEX NUT AISI310 M17</t>
  </si>
  <si>
    <t>LOCK WASHER M9</t>
  </si>
  <si>
    <t>FLAT BAR 1/4X1 Inch A37</t>
  </si>
  <si>
    <t>BOLT ALLEN HEX 2/4X2pol</t>
  </si>
  <si>
    <t>BOLTSS12.090.02</t>
  </si>
  <si>
    <t>HEX NUT AISI320 M16</t>
  </si>
  <si>
    <t>WRENCH SOCKET 14MM 33 GEDORE</t>
  </si>
  <si>
    <t>BOLTSS12.090.03</t>
  </si>
  <si>
    <t>Plate material</t>
  </si>
  <si>
    <t>FLAT BAR 1/4X1.1/2 Inch A36</t>
  </si>
  <si>
    <t>FLAT BAR 1/4X1 Inch A36</t>
  </si>
  <si>
    <t>Fixing Elements</t>
  </si>
  <si>
    <t>Tools</t>
  </si>
  <si>
    <t>Sheif EF438</t>
  </si>
  <si>
    <t>Sheif EF439</t>
  </si>
  <si>
    <t>Sheif EF63</t>
  </si>
  <si>
    <t>Sheif AB63</t>
  </si>
  <si>
    <t>Sheif AB64</t>
  </si>
  <si>
    <t>Sheif CD406</t>
  </si>
  <si>
    <t>Sheif CD288</t>
  </si>
  <si>
    <t>Sheif EF407</t>
  </si>
  <si>
    <t>Sheif EF402</t>
  </si>
  <si>
    <t>Sheif AB438</t>
  </si>
  <si>
    <t>Sheif AB408</t>
  </si>
  <si>
    <t>Sheif CD438</t>
  </si>
  <si>
    <t>Sheif EF433</t>
  </si>
  <si>
    <t>Sheif EF400</t>
  </si>
  <si>
    <t>Sheif AB400</t>
  </si>
  <si>
    <t>Sheif AB22</t>
  </si>
  <si>
    <t>Sheif EF153</t>
  </si>
  <si>
    <t>Sheif EF154</t>
  </si>
  <si>
    <t>Sheif CD200</t>
  </si>
  <si>
    <t>Sheif CD434</t>
  </si>
  <si>
    <t>Sheif AB343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</si>
</sst>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4"/>
      <color theme="0"/>
      <name val="Arial Rounded MT Bold"/>
      <family val="2"/>
    </font>
    <font>
      <b/>
      <sz val="24"/>
      <color theme="0"/>
      <name val="Arial Rounded MT Bold"/>
      <family val="2"/>
    </font>
    <font>
      <u/>
      <sz val="11"/>
      <color theme="10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Britannic Bold"/>
      <family val="2"/>
    </font>
    <font>
      <sz val="24"/>
      <color theme="1"/>
      <name val="Bernard MT Condensed"/>
      <family val="1"/>
    </font>
  </fonts>
  <fills count="6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5" fontId="0" fillId="0" borderId="0" xfId="0" applyNumberFormat="1" applyAlignment="1">
      <alignment horizontal="center"/>
    </xf>
    <xf numFmtId="2" fontId="2" fillId="0" borderId="1" xfId="0" applyNumberFormat="1" applyFont="1" applyFill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0" borderId="0" xfId="1"/>
    <xf numFmtId="0" fontId="8" fillId="0" borderId="0" xfId="0" applyFont="1"/>
    <xf numFmtId="0" fontId="7" fillId="0" borderId="0" xfId="0" applyFont="1"/>
    <xf numFmtId="0" fontId="9" fillId="0" borderId="0" xfId="0" applyFont="1"/>
    <xf numFmtId="0" fontId="4" fillId="5" borderId="2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5B8EA"/>
      <color rgb="FFC59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5</xdr:row>
          <xdr:rowOff>66675</xdr:rowOff>
        </xdr:from>
        <xdr:to>
          <xdr:col>8</xdr:col>
          <xdr:colOff>190500</xdr:colOff>
          <xdr:row>8</xdr:row>
          <xdr:rowOff>9525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502144</xdr:colOff>
      <xdr:row>0</xdr:row>
      <xdr:rowOff>107950</xdr:rowOff>
    </xdr:from>
    <xdr:ext cx="7003071" cy="71846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2144" y="107950"/>
          <a:ext cx="7003071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0"/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Inventory Management System</a:t>
          </a:r>
          <a:r>
            <a:rPr lang="en-US" sz="4000" b="1" cap="none" spc="0" baseline="0">
              <a:ln w="0"/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endParaRPr lang="en-US" sz="4000" b="1" cap="none" spc="0">
            <a:ln w="0"/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82550</xdr:colOff>
      <xdr:row>2</xdr:row>
      <xdr:rowOff>95250</xdr:rowOff>
    </xdr:from>
    <xdr:to>
      <xdr:col>1</xdr:col>
      <xdr:colOff>1619250</xdr:colOff>
      <xdr:row>4</xdr:row>
      <xdr:rowOff>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206375" y="619125"/>
          <a:ext cx="1536700" cy="285750"/>
          <a:chOff x="209550" y="622300"/>
          <a:chExt cx="1536700" cy="27305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247650" y="628650"/>
            <a:ext cx="1447800" cy="2603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20955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1100" b="1"/>
              <a:t>Start Date:</a:t>
            </a:r>
          </a:p>
        </xdr:txBody>
      </xdr:sp>
      <xdr:sp macro="" textlink="Report!C1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92710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96F62A6-F9F1-461F-90A9-43BE474A1B87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7-May-22</a:t>
            </a:fld>
            <a:endParaRPr lang="en-IN" sz="1100" b="1"/>
          </a:p>
        </xdr:txBody>
      </xdr:sp>
    </xdr:grpSp>
    <xdr:clientData/>
  </xdr:twoCellAnchor>
  <xdr:twoCellAnchor editAs="absolute">
    <xdr:from>
      <xdr:col>4</xdr:col>
      <xdr:colOff>654050</xdr:colOff>
      <xdr:row>2</xdr:row>
      <xdr:rowOff>88900</xdr:rowOff>
    </xdr:from>
    <xdr:to>
      <xdr:col>5</xdr:col>
      <xdr:colOff>1047750</xdr:colOff>
      <xdr:row>4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4264025" y="612775"/>
          <a:ext cx="1489075" cy="292100"/>
          <a:chOff x="4432300" y="615950"/>
          <a:chExt cx="1536700" cy="279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476750" y="615950"/>
            <a:ext cx="1447800" cy="2603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443230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1100" b="1"/>
              <a:t>Start Date:</a:t>
            </a:r>
          </a:p>
        </xdr:txBody>
      </xdr:sp>
      <xdr:sp macro="" textlink="Report!C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514985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099E25B8-393D-42DA-A5AD-34D95F90FB7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7-May-22</a:t>
            </a:fld>
            <a:endParaRPr lang="en-IN" sz="1100" b="1"/>
          </a:p>
        </xdr:txBody>
      </xdr:sp>
    </xdr:grpSp>
    <xdr:clientData/>
  </xdr:twoCellAnchor>
  <xdr:twoCellAnchor editAs="absolute">
    <xdr:from>
      <xdr:col>0</xdr:col>
      <xdr:colOff>63500</xdr:colOff>
      <xdr:row>4</xdr:row>
      <xdr:rowOff>101600</xdr:rowOff>
    </xdr:from>
    <xdr:to>
      <xdr:col>1</xdr:col>
      <xdr:colOff>1035385</xdr:colOff>
      <xdr:row>7</xdr:row>
      <xdr:rowOff>165100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63500" y="1006475"/>
          <a:ext cx="1095710" cy="625475"/>
          <a:chOff x="63500" y="996950"/>
          <a:chExt cx="1098885" cy="6223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63500" y="996950"/>
            <a:ext cx="1098885" cy="622300"/>
          </a:xfrm>
          <a:prstGeom prst="rect">
            <a:avLst/>
          </a:prstGeom>
          <a:solidFill>
            <a:srgbClr val="80000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5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11430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43237A74-AF75-4916-A4FC-7D28B68E62E9}" type="TxLink">
              <a:rPr lang="en-US" sz="1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Purchase</a:t>
            </a:fld>
            <a:endParaRPr lang="en-IN" sz="1050" b="1">
              <a:solidFill>
                <a:schemeClr val="bg1"/>
              </a:solidFill>
            </a:endParaRPr>
          </a:p>
        </xdr:txBody>
      </xdr:sp>
      <xdr:sp macro="" textlink="Report!C5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1143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B2326CA-11D3-4D70-9DC2-DDA4FDAACD26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cs typeface="Calibri"/>
              </a:rPr>
              <a:pPr algn="ctr"/>
              <a:t>0.00</a:t>
            </a:fld>
            <a:endParaRPr lang="en-IN" sz="1400" b="0">
              <a:solidFill>
                <a:schemeClr val="bg1"/>
              </a:solidFill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 editAs="absolute">
    <xdr:from>
      <xdr:col>1</xdr:col>
      <xdr:colOff>1149266</xdr:colOff>
      <xdr:row>4</xdr:row>
      <xdr:rowOff>101600</xdr:rowOff>
    </xdr:from>
    <xdr:to>
      <xdr:col>2</xdr:col>
      <xdr:colOff>311401</xdr:colOff>
      <xdr:row>7</xdr:row>
      <xdr:rowOff>165100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1273091" y="1006475"/>
          <a:ext cx="1009985" cy="625475"/>
          <a:chOff x="1276266" y="996950"/>
          <a:chExt cx="1098885" cy="62230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1276266" y="996950"/>
            <a:ext cx="1098885" cy="622300"/>
          </a:xfrm>
          <a:prstGeom prst="rect">
            <a:avLst/>
          </a:prstGeom>
          <a:solidFill>
            <a:srgbClr val="80800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6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32715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8E9AE3F-90A4-491B-BDF0-E5F0D783FB40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Sale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6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 txBox="1"/>
        </xdr:nvSpPr>
        <xdr:spPr>
          <a:xfrm>
            <a:off x="132715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D18D1F41-5AA3-45FB-B8B4-E6595EC8FF4F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2</xdr:col>
      <xdr:colOff>425282</xdr:colOff>
      <xdr:row>4</xdr:row>
      <xdr:rowOff>101600</xdr:rowOff>
    </xdr:from>
    <xdr:to>
      <xdr:col>3</xdr:col>
      <xdr:colOff>666917</xdr:colOff>
      <xdr:row>7</xdr:row>
      <xdr:rowOff>165100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396957" y="1006475"/>
          <a:ext cx="1060785" cy="625475"/>
          <a:chOff x="2489032" y="996950"/>
          <a:chExt cx="1098885" cy="622300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2489032" y="996950"/>
            <a:ext cx="1098885" cy="622300"/>
          </a:xfrm>
          <a:prstGeom prst="rect">
            <a:avLst/>
          </a:prstGeom>
          <a:solidFill>
            <a:srgbClr val="00808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7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254000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85CF9642-9E70-4C33-A745-074A8C624BE8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Profit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 txBox="1"/>
        </xdr:nvSpPr>
        <xdr:spPr>
          <a:xfrm>
            <a:off x="25400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EC413B77-EC1C-4E6A-BED4-FCD0D33E2AF4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730250</xdr:colOff>
      <xdr:row>4</xdr:row>
      <xdr:rowOff>101600</xdr:rowOff>
    </xdr:from>
    <xdr:to>
      <xdr:col>4</xdr:col>
      <xdr:colOff>1066800</xdr:colOff>
      <xdr:row>7</xdr:row>
      <xdr:rowOff>165100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3521075" y="1006475"/>
          <a:ext cx="1155700" cy="625475"/>
          <a:chOff x="3651250" y="996950"/>
          <a:chExt cx="1193800" cy="622300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3701798" y="996950"/>
            <a:ext cx="1098885" cy="622300"/>
          </a:xfrm>
          <a:prstGeom prst="rect">
            <a:avLst/>
          </a:prstGeom>
          <a:solidFill>
            <a:srgbClr val="80008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8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3651250" y="1346200"/>
            <a:ext cx="119380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E7C59B48-5242-47A2-9A91-800BF642D72A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Inventory Quantity</a:t>
            </a:fld>
            <a:endParaRPr lang="en-IN" sz="9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375285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A2FD96B4-6690-4247-9699-B6A72AAFB6CE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4</xdr:col>
      <xdr:colOff>1136315</xdr:colOff>
      <xdr:row>4</xdr:row>
      <xdr:rowOff>101600</xdr:rowOff>
    </xdr:from>
    <xdr:to>
      <xdr:col>5</xdr:col>
      <xdr:colOff>1092200</xdr:colOff>
      <xdr:row>7</xdr:row>
      <xdr:rowOff>165100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pSpPr/>
      </xdr:nvGrpSpPr>
      <xdr:grpSpPr>
        <a:xfrm>
          <a:off x="4708190" y="1006475"/>
          <a:ext cx="1089360" cy="625475"/>
          <a:chOff x="4914565" y="996950"/>
          <a:chExt cx="1098885" cy="62230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4914565" y="996950"/>
            <a:ext cx="1098885" cy="622300"/>
          </a:xfrm>
          <a:prstGeom prst="rect">
            <a:avLst/>
          </a:prstGeom>
          <a:solidFill>
            <a:srgbClr val="00004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9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 txBox="1"/>
        </xdr:nvSpPr>
        <xdr:spPr>
          <a:xfrm>
            <a:off x="4921250" y="1346200"/>
            <a:ext cx="105410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3CE22F59-FAD2-40EA-92BC-9AC93CF2A8CA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Inventory Value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 txBox="1"/>
        </xdr:nvSpPr>
        <xdr:spPr>
          <a:xfrm>
            <a:off x="49657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DA0531D-AC6F-45DC-8308-AC6F2AEC2F13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123825</xdr:colOff>
          <xdr:row>0</xdr:row>
          <xdr:rowOff>161925</xdr:rowOff>
        </xdr:from>
        <xdr:to>
          <xdr:col>11</xdr:col>
          <xdr:colOff>142875</xdr:colOff>
          <xdr:row>2</xdr:row>
          <xdr:rowOff>152400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16</xdr:row>
          <xdr:rowOff>180975</xdr:rowOff>
        </xdr:from>
        <xdr:to>
          <xdr:col>16</xdr:col>
          <xdr:colOff>9525</xdr:colOff>
          <xdr:row>19</xdr:row>
          <xdr:rowOff>123825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2:M21"/>
  <sheetViews>
    <sheetView showGridLines="0" tabSelected="1" workbookViewId="0">
      <selection activeCell="H11" sqref="H11"/>
    </sheetView>
  </sheetViews>
  <sheetFormatPr defaultRowHeight="15" x14ac:dyDescent="0.25"/>
  <cols>
    <col min="2" max="2" width="8.7109375" customWidth="1"/>
  </cols>
  <sheetData>
    <row r="12" spans="2:6" ht="30" x14ac:dyDescent="0.4">
      <c r="F12" s="16"/>
    </row>
    <row r="15" spans="2:6" x14ac:dyDescent="0.25">
      <c r="B15" s="15"/>
    </row>
    <row r="20" spans="12:13" ht="29.25" x14ac:dyDescent="0.35">
      <c r="L20" s="18" t="s">
        <v>42</v>
      </c>
    </row>
    <row r="21" spans="12:13" ht="31.5" x14ac:dyDescent="0.5">
      <c r="M21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4</xdr:col>
                <xdr:colOff>180975</xdr:colOff>
                <xdr:row>5</xdr:row>
                <xdr:rowOff>66675</xdr:rowOff>
              </from>
              <to>
                <xdr:col>8</xdr:col>
                <xdr:colOff>190500</xdr:colOff>
                <xdr:row>8</xdr:row>
                <xdr:rowOff>9525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0CCE5-47CD-41A6-A704-9D0A6E23F86F}">
  <sheetPr codeName="Sheet5"/>
  <dimension ref="A1:F32"/>
  <sheetViews>
    <sheetView showGridLines="0" workbookViewId="0">
      <selection activeCell="B12" sqref="B12:F12"/>
    </sheetView>
  </sheetViews>
  <sheetFormatPr defaultRowHeight="15" x14ac:dyDescent="0.25"/>
  <cols>
    <col min="1" max="1" width="1.85546875" customWidth="1"/>
    <col min="2" max="2" width="27.7109375" customWidth="1"/>
    <col min="3" max="4" width="12.28515625" customWidth="1"/>
    <col min="5" max="6" width="16.42578125" customWidth="1"/>
    <col min="7" max="7" width="9" customWidth="1"/>
    <col min="10" max="10" width="9" customWidth="1"/>
    <col min="13" max="13" width="8.140625" customWidth="1"/>
  </cols>
  <sheetData>
    <row r="1" spans="1:6" ht="18.95" customHeight="1" x14ac:dyDescent="0.25">
      <c r="A1" s="20" t="s">
        <v>32</v>
      </c>
      <c r="B1" s="20"/>
      <c r="C1" s="20"/>
      <c r="D1" s="20"/>
      <c r="E1" s="20"/>
      <c r="F1" s="20"/>
    </row>
    <row r="2" spans="1:6" ht="22.5" customHeight="1" x14ac:dyDescent="0.25">
      <c r="A2" s="20"/>
      <c r="B2" s="20"/>
      <c r="C2" s="20"/>
      <c r="D2" s="20"/>
      <c r="E2" s="20"/>
      <c r="F2" s="20"/>
    </row>
    <row r="5" spans="1:6" ht="15" customHeight="1" x14ac:dyDescent="0.25"/>
    <row r="6" spans="1:6" ht="14.45" customHeight="1" x14ac:dyDescent="0.25"/>
    <row r="9" spans="1:6" ht="9.6" customHeight="1" x14ac:dyDescent="0.25"/>
    <row r="10" spans="1:6" ht="22.5" customHeight="1" x14ac:dyDescent="0.25">
      <c r="B10" s="19" t="s">
        <v>33</v>
      </c>
      <c r="C10" s="19"/>
      <c r="D10" s="19"/>
      <c r="E10" s="19"/>
      <c r="F10" s="19"/>
    </row>
    <row r="11" spans="1:6" ht="15" customHeight="1" x14ac:dyDescent="0.25">
      <c r="B11" s="3" t="s">
        <v>0</v>
      </c>
      <c r="C11" s="3" t="s">
        <v>20</v>
      </c>
      <c r="D11" s="3" t="s">
        <v>19</v>
      </c>
      <c r="E11" s="3" t="s">
        <v>26</v>
      </c>
      <c r="F11" s="3" t="s">
        <v>27</v>
      </c>
    </row>
    <row r="12" spans="1:6" ht="15" customHeight="1" x14ac:dyDescent="0.25">
      <c r="B12" s="2" t="s">
        <v>34</v>
      </c>
      <c r="C12" s="2">
        <v>0</v>
      </c>
      <c r="D12" s="2">
        <v>0</v>
      </c>
      <c r="E12" s="2">
        <v>0</v>
      </c>
      <c r="F12" s="12">
        <v>0</v>
      </c>
    </row>
    <row r="13" spans="1:6" ht="15" customHeight="1" x14ac:dyDescent="0.25">
      <c r="B13" s="2" t="s">
        <v>35</v>
      </c>
      <c r="C13" s="2">
        <v>0</v>
      </c>
      <c r="D13" s="2">
        <v>0</v>
      </c>
      <c r="E13" s="2">
        <v>0</v>
      </c>
      <c r="F13" s="12">
        <v>0</v>
      </c>
    </row>
    <row r="14" spans="1:6" ht="15" customHeight="1" x14ac:dyDescent="0.25">
      <c r="B14" s="2" t="s">
        <v>36</v>
      </c>
      <c r="C14" s="2">
        <v>0</v>
      </c>
      <c r="D14" s="2">
        <v>0</v>
      </c>
      <c r="E14" s="2">
        <v>0</v>
      </c>
      <c r="F14" s="12">
        <v>0</v>
      </c>
    </row>
    <row r="15" spans="1:6" ht="15" customHeight="1" x14ac:dyDescent="0.25">
      <c r="B15" s="2" t="s">
        <v>37</v>
      </c>
      <c r="C15" s="2">
        <v>0</v>
      </c>
      <c r="D15" s="2">
        <v>0</v>
      </c>
      <c r="E15" s="2">
        <v>0</v>
      </c>
      <c r="F15" s="12">
        <v>0</v>
      </c>
    </row>
    <row r="16" spans="1:6" ht="15" customHeight="1" x14ac:dyDescent="0.25">
      <c r="B16" s="2" t="s">
        <v>38</v>
      </c>
      <c r="C16" s="2">
        <v>0</v>
      </c>
      <c r="D16" s="2">
        <v>0</v>
      </c>
      <c r="E16" s="2">
        <v>0</v>
      </c>
      <c r="F16" s="12">
        <v>0</v>
      </c>
    </row>
    <row r="17" spans="2:6" ht="15" customHeight="1" x14ac:dyDescent="0.25">
      <c r="B17" s="2" t="s">
        <v>39</v>
      </c>
      <c r="C17" s="2">
        <v>0</v>
      </c>
      <c r="D17" s="2">
        <v>0</v>
      </c>
      <c r="E17" s="2">
        <v>0</v>
      </c>
      <c r="F17" s="12">
        <v>0</v>
      </c>
    </row>
    <row r="18" spans="2:6" ht="15" customHeight="1" x14ac:dyDescent="0.25">
      <c r="B18" s="2" t="s">
        <v>40</v>
      </c>
      <c r="C18" s="2">
        <v>0</v>
      </c>
      <c r="D18" s="2">
        <v>0</v>
      </c>
      <c r="E18" s="2">
        <v>0</v>
      </c>
      <c r="F18" s="12">
        <v>0</v>
      </c>
    </row>
    <row r="19" spans="2:6" ht="15" customHeight="1" x14ac:dyDescent="0.25">
      <c r="B19" s="2" t="s">
        <v>41</v>
      </c>
      <c r="C19" s="2">
        <v>0</v>
      </c>
      <c r="D19" s="2">
        <v>0</v>
      </c>
      <c r="E19" s="2">
        <v>0</v>
      </c>
      <c r="F19" s="12">
        <v>0</v>
      </c>
    </row>
    <row r="20" spans="2:6" ht="15" customHeight="1" x14ac:dyDescent="0.25">
      <c r="B20" s="2" t="s">
        <v>15</v>
      </c>
      <c r="C20" s="2">
        <v>34</v>
      </c>
      <c r="D20" s="2">
        <v>18</v>
      </c>
      <c r="E20" s="2">
        <v>16</v>
      </c>
      <c r="F20" s="12">
        <v>336</v>
      </c>
    </row>
    <row r="21" spans="2:6" ht="15" customHeight="1" x14ac:dyDescent="0.25">
      <c r="B21" s="2" t="s">
        <v>6</v>
      </c>
      <c r="C21" s="2">
        <v>40</v>
      </c>
      <c r="D21" s="2">
        <v>22</v>
      </c>
      <c r="E21" s="2">
        <v>18</v>
      </c>
      <c r="F21" s="12">
        <v>522</v>
      </c>
    </row>
    <row r="22" spans="2:6" ht="15" customHeight="1" x14ac:dyDescent="0.25">
      <c r="B22" s="2" t="s">
        <v>10</v>
      </c>
      <c r="C22" s="2">
        <v>54</v>
      </c>
      <c r="D22" s="2">
        <v>36</v>
      </c>
      <c r="E22" s="2">
        <v>18</v>
      </c>
      <c r="F22" s="12">
        <v>612</v>
      </c>
    </row>
    <row r="23" spans="2:6" ht="15" customHeight="1" x14ac:dyDescent="0.25">
      <c r="B23" s="2" t="s">
        <v>4</v>
      </c>
      <c r="C23" s="2">
        <v>43</v>
      </c>
      <c r="D23" s="2">
        <v>24</v>
      </c>
      <c r="E23" s="2">
        <v>19</v>
      </c>
      <c r="F23" s="12">
        <v>684</v>
      </c>
    </row>
    <row r="24" spans="2:6" ht="15" customHeight="1" x14ac:dyDescent="0.25">
      <c r="B24" s="2" t="s">
        <v>7</v>
      </c>
      <c r="C24" s="2">
        <v>41</v>
      </c>
      <c r="D24" s="2">
        <v>21</v>
      </c>
      <c r="E24" s="2">
        <v>20</v>
      </c>
      <c r="F24" s="12">
        <v>567</v>
      </c>
    </row>
    <row r="25" spans="2:6" ht="15" customHeight="1" x14ac:dyDescent="0.25">
      <c r="B25" s="2" t="s">
        <v>8</v>
      </c>
      <c r="C25" s="2">
        <v>44</v>
      </c>
      <c r="D25" s="2">
        <v>21</v>
      </c>
      <c r="E25" s="2">
        <v>23</v>
      </c>
      <c r="F25" s="12">
        <v>897</v>
      </c>
    </row>
    <row r="26" spans="2:6" ht="15" customHeight="1" x14ac:dyDescent="0.25">
      <c r="B26" s="2" t="s">
        <v>12</v>
      </c>
      <c r="C26" s="2">
        <v>46</v>
      </c>
      <c r="D26" s="2">
        <v>14</v>
      </c>
      <c r="E26" s="2">
        <v>32</v>
      </c>
      <c r="F26" s="12">
        <v>672</v>
      </c>
    </row>
    <row r="27" spans="2:6" x14ac:dyDescent="0.25">
      <c r="B27" s="2" t="s">
        <v>5</v>
      </c>
      <c r="C27" s="2">
        <v>57</v>
      </c>
      <c r="D27" s="2">
        <v>22</v>
      </c>
      <c r="E27" s="2">
        <v>35</v>
      </c>
      <c r="F27" s="12">
        <v>945</v>
      </c>
    </row>
    <row r="28" spans="2:6" x14ac:dyDescent="0.25">
      <c r="B28" s="2" t="s">
        <v>14</v>
      </c>
      <c r="C28" s="2">
        <v>51</v>
      </c>
      <c r="D28" s="2">
        <v>14</v>
      </c>
      <c r="E28" s="2">
        <v>37</v>
      </c>
      <c r="F28" s="12">
        <v>1406</v>
      </c>
    </row>
    <row r="29" spans="2:6" x14ac:dyDescent="0.25">
      <c r="B29" s="2" t="s">
        <v>17</v>
      </c>
      <c r="C29" s="2">
        <v>69</v>
      </c>
      <c r="D29" s="2">
        <v>25</v>
      </c>
      <c r="E29" s="2">
        <v>44</v>
      </c>
      <c r="F29" s="12">
        <v>924</v>
      </c>
    </row>
    <row r="30" spans="2:6" x14ac:dyDescent="0.25">
      <c r="B30" s="2" t="s">
        <v>9</v>
      </c>
      <c r="C30" s="2">
        <v>60</v>
      </c>
      <c r="D30" s="2">
        <v>12</v>
      </c>
      <c r="E30" s="2">
        <v>48</v>
      </c>
      <c r="F30" s="12">
        <v>1248</v>
      </c>
    </row>
    <row r="31" spans="2:6" x14ac:dyDescent="0.25">
      <c r="B31" s="2" t="s">
        <v>11</v>
      </c>
      <c r="C31" s="2">
        <v>70</v>
      </c>
      <c r="D31" s="2">
        <v>14</v>
      </c>
      <c r="E31" s="2">
        <v>56</v>
      </c>
      <c r="F31" s="12">
        <v>2016</v>
      </c>
    </row>
    <row r="32" spans="2:6" x14ac:dyDescent="0.25">
      <c r="B32" s="2" t="s">
        <v>13</v>
      </c>
      <c r="C32" s="2">
        <v>132</v>
      </c>
      <c r="D32" s="2">
        <v>30</v>
      </c>
      <c r="E32" s="2">
        <v>102</v>
      </c>
      <c r="F32" s="12">
        <v>2244</v>
      </c>
    </row>
  </sheetData>
  <mergeCells count="2">
    <mergeCell ref="B10:F10"/>
    <mergeCell ref="A1:F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7</xdr:col>
                <xdr:colOff>123825</xdr:colOff>
                <xdr:row>0</xdr:row>
                <xdr:rowOff>161925</xdr:rowOff>
              </from>
              <to>
                <xdr:col>11</xdr:col>
                <xdr:colOff>142875</xdr:colOff>
                <xdr:row>2</xdr:row>
                <xdr:rowOff>152400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24"/>
  <sheetViews>
    <sheetView workbookViewId="0">
      <selection activeCell="A2" sqref="A2:K24"/>
    </sheetView>
  </sheetViews>
  <sheetFormatPr defaultRowHeight="15" x14ac:dyDescent="0.25"/>
  <cols>
    <col min="1" max="1" width="9.28515625" style="1" customWidth="1"/>
    <col min="2" max="2" width="32.5703125" style="1" bestFit="1" customWidth="1"/>
    <col min="3" max="4" width="15.7109375" style="14" customWidth="1"/>
    <col min="5" max="5" width="20" customWidth="1"/>
    <col min="6" max="6" width="11.28515625" customWidth="1"/>
    <col min="7" max="7" width="10.28515625" customWidth="1"/>
    <col min="8" max="8" width="11" bestFit="1" customWidth="1"/>
    <col min="9" max="9" width="14.85546875" bestFit="1" customWidth="1"/>
  </cols>
  <sheetData>
    <row r="1" spans="1:11" ht="15" customHeight="1" x14ac:dyDescent="0.25">
      <c r="A1" s="4" t="s">
        <v>43</v>
      </c>
      <c r="B1" s="4" t="s">
        <v>44</v>
      </c>
      <c r="C1" s="7" t="s">
        <v>45</v>
      </c>
      <c r="D1" s="7" t="s">
        <v>46</v>
      </c>
      <c r="E1" s="1" t="s">
        <v>47</v>
      </c>
      <c r="F1" t="s">
        <v>48</v>
      </c>
      <c r="G1" t="s">
        <v>49</v>
      </c>
      <c r="H1" t="s">
        <v>50</v>
      </c>
      <c r="I1" t="s">
        <v>56</v>
      </c>
      <c r="J1" t="s">
        <v>19</v>
      </c>
      <c r="K1" t="s">
        <v>55</v>
      </c>
    </row>
    <row r="2" spans="1:11" ht="15" customHeight="1" x14ac:dyDescent="0.25">
      <c r="A2" s="4">
        <v>4700</v>
      </c>
      <c r="B2" s="4" t="s">
        <v>78</v>
      </c>
      <c r="C2" s="7" t="s">
        <v>77</v>
      </c>
      <c r="D2" s="7" t="s">
        <v>82</v>
      </c>
      <c r="E2" s="11">
        <v>44617</v>
      </c>
      <c r="F2">
        <v>15</v>
      </c>
      <c r="G2">
        <v>96</v>
      </c>
      <c r="H2">
        <f>SUM(F2*G2)</f>
        <v>1440</v>
      </c>
      <c r="I2">
        <v>30</v>
      </c>
      <c r="J2">
        <f>SUM(I2)-SUM(F2)</f>
        <v>15</v>
      </c>
      <c r="K2">
        <v>110</v>
      </c>
    </row>
    <row r="3" spans="1:11" ht="15" customHeight="1" x14ac:dyDescent="0.25">
      <c r="A3" s="4">
        <v>4701</v>
      </c>
      <c r="B3" s="4" t="s">
        <v>57</v>
      </c>
      <c r="C3" s="7" t="s">
        <v>77</v>
      </c>
      <c r="D3" s="7" t="s">
        <v>83</v>
      </c>
      <c r="E3" s="11">
        <v>44617</v>
      </c>
      <c r="F3">
        <v>12</v>
      </c>
      <c r="G3">
        <v>68</v>
      </c>
      <c r="H3">
        <f t="shared" ref="H3:H23" si="0">SUM(F3*G3)</f>
        <v>816</v>
      </c>
      <c r="I3">
        <v>20</v>
      </c>
      <c r="J3">
        <f t="shared" ref="J3:J23" si="1">SUM(I3)-SUM(F3)</f>
        <v>8</v>
      </c>
      <c r="K3">
        <v>80</v>
      </c>
    </row>
    <row r="4" spans="1:11" ht="15" customHeight="1" x14ac:dyDescent="0.25">
      <c r="A4" s="4">
        <v>4702</v>
      </c>
      <c r="B4" s="4" t="s">
        <v>79</v>
      </c>
      <c r="C4" s="7" t="s">
        <v>77</v>
      </c>
      <c r="D4" s="7" t="s">
        <v>85</v>
      </c>
      <c r="E4" s="11">
        <v>44617</v>
      </c>
      <c r="F4">
        <v>88</v>
      </c>
      <c r="G4">
        <v>58</v>
      </c>
      <c r="H4">
        <f t="shared" si="0"/>
        <v>5104</v>
      </c>
      <c r="I4">
        <v>100</v>
      </c>
      <c r="J4">
        <f t="shared" si="1"/>
        <v>12</v>
      </c>
      <c r="K4">
        <v>60</v>
      </c>
    </row>
    <row r="5" spans="1:11" ht="15" customHeight="1" x14ac:dyDescent="0.25">
      <c r="A5" s="4">
        <v>4703</v>
      </c>
      <c r="B5" s="4" t="s">
        <v>58</v>
      </c>
      <c r="C5" s="7" t="s">
        <v>80</v>
      </c>
      <c r="D5" s="7" t="s">
        <v>86</v>
      </c>
      <c r="E5" s="11">
        <v>44617</v>
      </c>
      <c r="F5">
        <v>100</v>
      </c>
      <c r="G5">
        <v>85</v>
      </c>
      <c r="H5">
        <f t="shared" si="0"/>
        <v>8500</v>
      </c>
      <c r="I5">
        <v>200</v>
      </c>
      <c r="J5">
        <f t="shared" si="1"/>
        <v>100</v>
      </c>
      <c r="K5">
        <v>90</v>
      </c>
    </row>
    <row r="6" spans="1:11" ht="15" customHeight="1" x14ac:dyDescent="0.25">
      <c r="A6" s="4">
        <v>4704</v>
      </c>
      <c r="B6" s="4" t="s">
        <v>59</v>
      </c>
      <c r="C6" s="7" t="s">
        <v>80</v>
      </c>
      <c r="D6" s="7" t="s">
        <v>87</v>
      </c>
      <c r="E6" s="11">
        <v>44617</v>
      </c>
      <c r="F6">
        <v>15</v>
      </c>
      <c r="G6">
        <v>98</v>
      </c>
      <c r="H6">
        <f t="shared" si="0"/>
        <v>1470</v>
      </c>
      <c r="I6">
        <v>30</v>
      </c>
      <c r="J6">
        <f t="shared" si="1"/>
        <v>15</v>
      </c>
      <c r="K6">
        <v>20</v>
      </c>
    </row>
    <row r="7" spans="1:11" ht="15" customHeight="1" x14ac:dyDescent="0.25">
      <c r="A7" s="4">
        <v>4705</v>
      </c>
      <c r="B7" s="4" t="s">
        <v>60</v>
      </c>
      <c r="C7" s="7" t="s">
        <v>80</v>
      </c>
      <c r="D7" s="7" t="s">
        <v>88</v>
      </c>
      <c r="E7" s="11">
        <v>44617</v>
      </c>
      <c r="F7">
        <v>20</v>
      </c>
      <c r="G7">
        <v>78</v>
      </c>
      <c r="H7">
        <f t="shared" si="0"/>
        <v>1560</v>
      </c>
      <c r="I7">
        <v>50</v>
      </c>
      <c r="J7">
        <f t="shared" si="1"/>
        <v>30</v>
      </c>
      <c r="K7">
        <v>90</v>
      </c>
    </row>
    <row r="8" spans="1:11" ht="15" customHeight="1" x14ac:dyDescent="0.25">
      <c r="A8" s="4">
        <v>4706</v>
      </c>
      <c r="B8" s="4" t="s">
        <v>61</v>
      </c>
      <c r="C8" s="7" t="s">
        <v>80</v>
      </c>
      <c r="D8" s="7" t="s">
        <v>89</v>
      </c>
      <c r="E8" s="11">
        <v>44617</v>
      </c>
      <c r="F8">
        <v>25</v>
      </c>
      <c r="G8">
        <v>44</v>
      </c>
      <c r="H8">
        <f t="shared" si="0"/>
        <v>1100</v>
      </c>
      <c r="I8">
        <v>40</v>
      </c>
      <c r="J8">
        <f t="shared" si="1"/>
        <v>15</v>
      </c>
      <c r="K8">
        <v>50</v>
      </c>
    </row>
    <row r="9" spans="1:11" ht="15" customHeight="1" x14ac:dyDescent="0.25">
      <c r="A9" s="4">
        <v>4707</v>
      </c>
      <c r="B9" s="4" t="s">
        <v>62</v>
      </c>
      <c r="C9" s="7" t="s">
        <v>80</v>
      </c>
      <c r="D9" s="7" t="s">
        <v>90</v>
      </c>
      <c r="E9" s="11">
        <v>44617</v>
      </c>
      <c r="F9">
        <v>30</v>
      </c>
      <c r="G9">
        <v>60</v>
      </c>
      <c r="H9">
        <f t="shared" si="0"/>
        <v>1800</v>
      </c>
      <c r="I9">
        <v>40</v>
      </c>
      <c r="J9">
        <f t="shared" si="1"/>
        <v>10</v>
      </c>
      <c r="K9">
        <v>35</v>
      </c>
    </row>
    <row r="10" spans="1:11" ht="15" customHeight="1" x14ac:dyDescent="0.25">
      <c r="A10" s="4">
        <v>4708</v>
      </c>
      <c r="B10" s="4" t="s">
        <v>63</v>
      </c>
      <c r="C10" s="7" t="s">
        <v>80</v>
      </c>
      <c r="D10" s="7" t="s">
        <v>91</v>
      </c>
      <c r="E10" s="11">
        <v>44625</v>
      </c>
      <c r="F10">
        <v>35</v>
      </c>
      <c r="G10">
        <v>67</v>
      </c>
      <c r="H10">
        <f t="shared" si="0"/>
        <v>2345</v>
      </c>
      <c r="I10">
        <v>60</v>
      </c>
      <c r="J10">
        <f t="shared" si="1"/>
        <v>25</v>
      </c>
      <c r="K10">
        <v>70</v>
      </c>
    </row>
    <row r="11" spans="1:11" ht="15" customHeight="1" x14ac:dyDescent="0.25">
      <c r="A11" s="4">
        <v>4709</v>
      </c>
      <c r="B11" s="4" t="s">
        <v>64</v>
      </c>
      <c r="C11" s="7" t="s">
        <v>80</v>
      </c>
      <c r="D11" s="7" t="s">
        <v>92</v>
      </c>
      <c r="E11" s="11">
        <v>44625</v>
      </c>
      <c r="F11">
        <v>10</v>
      </c>
      <c r="G11">
        <v>78</v>
      </c>
      <c r="H11">
        <f t="shared" si="0"/>
        <v>780</v>
      </c>
      <c r="I11">
        <v>15</v>
      </c>
      <c r="J11">
        <f t="shared" si="1"/>
        <v>5</v>
      </c>
      <c r="K11">
        <v>80</v>
      </c>
    </row>
    <row r="12" spans="1:11" ht="15" customHeight="1" x14ac:dyDescent="0.25">
      <c r="A12" s="4">
        <v>4710</v>
      </c>
      <c r="B12" s="4" t="s">
        <v>66</v>
      </c>
      <c r="C12" s="7" t="s">
        <v>81</v>
      </c>
      <c r="D12" s="7" t="s">
        <v>93</v>
      </c>
      <c r="E12" s="11">
        <v>44625</v>
      </c>
      <c r="F12">
        <v>60</v>
      </c>
      <c r="G12">
        <v>60</v>
      </c>
      <c r="H12">
        <f t="shared" si="0"/>
        <v>3600</v>
      </c>
      <c r="I12">
        <v>70</v>
      </c>
      <c r="J12">
        <f t="shared" si="1"/>
        <v>10</v>
      </c>
      <c r="K12">
        <v>65</v>
      </c>
    </row>
    <row r="13" spans="1:11" ht="15" customHeight="1" x14ac:dyDescent="0.25">
      <c r="A13" s="4">
        <v>4711</v>
      </c>
      <c r="B13" s="4" t="s">
        <v>67</v>
      </c>
      <c r="C13" s="7" t="s">
        <v>81</v>
      </c>
      <c r="D13" s="7" t="s">
        <v>94</v>
      </c>
      <c r="E13" s="11">
        <v>44625</v>
      </c>
      <c r="F13">
        <v>70</v>
      </c>
      <c r="G13">
        <v>50</v>
      </c>
      <c r="H13">
        <f t="shared" si="0"/>
        <v>3500</v>
      </c>
      <c r="I13">
        <v>100</v>
      </c>
      <c r="J13">
        <f t="shared" si="1"/>
        <v>30</v>
      </c>
      <c r="K13">
        <v>60</v>
      </c>
    </row>
    <row r="14" spans="1:11" ht="15" customHeight="1" x14ac:dyDescent="0.25">
      <c r="A14" s="4">
        <v>4712</v>
      </c>
      <c r="B14" s="4" t="s">
        <v>65</v>
      </c>
      <c r="C14" s="7" t="s">
        <v>81</v>
      </c>
      <c r="D14" s="7" t="s">
        <v>95</v>
      </c>
      <c r="E14" s="11">
        <v>44625</v>
      </c>
      <c r="F14">
        <v>80</v>
      </c>
      <c r="G14">
        <v>23</v>
      </c>
      <c r="H14">
        <f t="shared" si="0"/>
        <v>1840</v>
      </c>
      <c r="I14">
        <v>100</v>
      </c>
      <c r="J14">
        <f t="shared" si="1"/>
        <v>20</v>
      </c>
      <c r="K14">
        <v>30</v>
      </c>
    </row>
    <row r="15" spans="1:11" x14ac:dyDescent="0.25">
      <c r="A15" s="4">
        <v>4713</v>
      </c>
      <c r="B15" s="1" t="s">
        <v>68</v>
      </c>
      <c r="C15" s="14" t="s">
        <v>80</v>
      </c>
      <c r="D15" s="14" t="s">
        <v>96</v>
      </c>
      <c r="E15" s="11">
        <v>44625</v>
      </c>
      <c r="F15">
        <v>90</v>
      </c>
      <c r="G15">
        <v>40</v>
      </c>
      <c r="H15">
        <f t="shared" si="0"/>
        <v>3600</v>
      </c>
      <c r="I15">
        <v>100</v>
      </c>
      <c r="J15">
        <f t="shared" si="1"/>
        <v>10</v>
      </c>
      <c r="K15">
        <v>45</v>
      </c>
    </row>
    <row r="16" spans="1:11" x14ac:dyDescent="0.25">
      <c r="A16" s="4">
        <v>4714</v>
      </c>
      <c r="B16" s="1" t="s">
        <v>69</v>
      </c>
      <c r="C16" s="14" t="s">
        <v>80</v>
      </c>
      <c r="D16" s="14" t="s">
        <v>97</v>
      </c>
      <c r="E16" s="11">
        <v>44625</v>
      </c>
      <c r="F16">
        <v>40</v>
      </c>
      <c r="G16">
        <v>30</v>
      </c>
      <c r="H16">
        <f t="shared" si="0"/>
        <v>1200</v>
      </c>
      <c r="I16">
        <v>50</v>
      </c>
      <c r="J16">
        <f t="shared" si="1"/>
        <v>10</v>
      </c>
      <c r="K16">
        <v>40</v>
      </c>
    </row>
    <row r="17" spans="1:11" x14ac:dyDescent="0.25">
      <c r="A17" s="4">
        <v>4715</v>
      </c>
      <c r="B17" s="1" t="s">
        <v>70</v>
      </c>
      <c r="C17" s="14" t="s">
        <v>80</v>
      </c>
      <c r="D17" s="14" t="s">
        <v>98</v>
      </c>
      <c r="E17" s="11">
        <v>44625</v>
      </c>
      <c r="F17">
        <v>31</v>
      </c>
      <c r="G17">
        <v>20</v>
      </c>
      <c r="H17">
        <f t="shared" si="0"/>
        <v>620</v>
      </c>
      <c r="I17">
        <v>70</v>
      </c>
      <c r="J17">
        <f t="shared" si="1"/>
        <v>39</v>
      </c>
      <c r="K17">
        <v>35</v>
      </c>
    </row>
    <row r="18" spans="1:11" x14ac:dyDescent="0.25">
      <c r="A18" s="4">
        <v>4716</v>
      </c>
      <c r="B18" s="1" t="s">
        <v>71</v>
      </c>
      <c r="C18" s="14" t="s">
        <v>77</v>
      </c>
      <c r="D18" s="14" t="s">
        <v>99</v>
      </c>
      <c r="E18" s="11">
        <v>44633</v>
      </c>
      <c r="F18">
        <v>69</v>
      </c>
      <c r="G18">
        <v>50</v>
      </c>
      <c r="H18">
        <f t="shared" si="0"/>
        <v>3450</v>
      </c>
      <c r="I18">
        <v>70</v>
      </c>
      <c r="J18">
        <f t="shared" si="1"/>
        <v>1</v>
      </c>
      <c r="K18">
        <v>70</v>
      </c>
    </row>
    <row r="19" spans="1:11" x14ac:dyDescent="0.25">
      <c r="A19" s="4">
        <v>4717</v>
      </c>
      <c r="B19" s="1" t="s">
        <v>72</v>
      </c>
      <c r="C19" s="14" t="s">
        <v>80</v>
      </c>
      <c r="D19" s="14" t="s">
        <v>86</v>
      </c>
      <c r="E19" s="11">
        <v>44633</v>
      </c>
      <c r="F19">
        <v>70</v>
      </c>
      <c r="G19">
        <v>67</v>
      </c>
      <c r="H19">
        <f t="shared" si="0"/>
        <v>4690</v>
      </c>
      <c r="I19">
        <v>100</v>
      </c>
      <c r="J19">
        <f t="shared" si="1"/>
        <v>30</v>
      </c>
      <c r="K19">
        <v>75</v>
      </c>
    </row>
    <row r="20" spans="1:11" x14ac:dyDescent="0.25">
      <c r="A20" s="4">
        <v>4718</v>
      </c>
      <c r="B20" s="1" t="s">
        <v>73</v>
      </c>
      <c r="C20" s="14" t="s">
        <v>80</v>
      </c>
      <c r="D20" s="14" t="s">
        <v>100</v>
      </c>
      <c r="E20" s="11">
        <v>44633</v>
      </c>
      <c r="F20">
        <v>57</v>
      </c>
      <c r="G20">
        <v>56</v>
      </c>
      <c r="H20">
        <f t="shared" si="0"/>
        <v>3192</v>
      </c>
      <c r="I20">
        <v>100</v>
      </c>
      <c r="J20">
        <f t="shared" si="1"/>
        <v>43</v>
      </c>
      <c r="K20">
        <v>65</v>
      </c>
    </row>
    <row r="21" spans="1:11" x14ac:dyDescent="0.25">
      <c r="A21" s="4">
        <v>4719</v>
      </c>
      <c r="B21" s="1" t="s">
        <v>74</v>
      </c>
      <c r="C21" s="14" t="s">
        <v>80</v>
      </c>
      <c r="D21" s="14" t="s">
        <v>84</v>
      </c>
      <c r="E21" s="11">
        <v>44633</v>
      </c>
      <c r="F21">
        <v>23</v>
      </c>
      <c r="G21">
        <v>78</v>
      </c>
      <c r="H21">
        <f t="shared" si="0"/>
        <v>1794</v>
      </c>
      <c r="I21">
        <v>40</v>
      </c>
      <c r="J21">
        <f t="shared" si="1"/>
        <v>17</v>
      </c>
      <c r="K21">
        <v>60</v>
      </c>
    </row>
    <row r="22" spans="1:11" x14ac:dyDescent="0.25">
      <c r="A22" s="4">
        <v>4720</v>
      </c>
      <c r="B22" s="1" t="s">
        <v>75</v>
      </c>
      <c r="C22" s="14" t="s">
        <v>81</v>
      </c>
      <c r="D22" s="14" t="s">
        <v>101</v>
      </c>
      <c r="E22" s="11">
        <v>44633</v>
      </c>
      <c r="F22">
        <v>45</v>
      </c>
      <c r="G22">
        <v>78</v>
      </c>
      <c r="H22">
        <f t="shared" si="0"/>
        <v>3510</v>
      </c>
      <c r="I22">
        <v>50</v>
      </c>
      <c r="J22">
        <f t="shared" si="1"/>
        <v>5</v>
      </c>
      <c r="K22">
        <v>80</v>
      </c>
    </row>
    <row r="23" spans="1:11" x14ac:dyDescent="0.25">
      <c r="A23" s="1">
        <v>4721</v>
      </c>
      <c r="B23" s="1" t="s">
        <v>76</v>
      </c>
      <c r="C23" s="14" t="s">
        <v>80</v>
      </c>
      <c r="D23" s="14" t="s">
        <v>102</v>
      </c>
      <c r="E23" s="11">
        <v>44633</v>
      </c>
      <c r="F23">
        <v>69</v>
      </c>
      <c r="G23">
        <v>34</v>
      </c>
      <c r="H23">
        <f t="shared" si="0"/>
        <v>2346</v>
      </c>
      <c r="I23">
        <v>80</v>
      </c>
      <c r="J23">
        <f t="shared" si="1"/>
        <v>11</v>
      </c>
      <c r="K23">
        <v>80</v>
      </c>
    </row>
    <row r="24" spans="1:11" x14ac:dyDescent="0.25">
      <c r="A24"/>
      <c r="B24"/>
      <c r="C24"/>
      <c r="D24"/>
    </row>
  </sheetData>
  <phoneticPr fontId="1" type="noConversion"/>
  <conditionalFormatting sqref="B25:B1048576 B1:B23">
    <cfRule type="duplicateValues" dxfId="2" priority="1"/>
  </conditionalFormatting>
  <dataValidations count="1">
    <dataValidation type="custom" allowBlank="1" showInputMessage="1" showErrorMessage="1" errorTitle="Duplicate" error="Duplicate Entry" sqref="B1:B23 B25:B1048576" xr:uid="{00000000-0002-0000-0100-000000000000}">
      <formula1>COUNTIF($B:$B,B1)&lt;2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12</xdr:col>
                <xdr:colOff>0</xdr:colOff>
                <xdr:row>16</xdr:row>
                <xdr:rowOff>180975</xdr:rowOff>
              </from>
              <to>
                <xdr:col>16</xdr:col>
                <xdr:colOff>9525</xdr:colOff>
                <xdr:row>19</xdr:row>
                <xdr:rowOff>123825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33"/>
  <sheetViews>
    <sheetView showGridLines="0" topLeftCell="A13" workbookViewId="0">
      <selection activeCell="A32" sqref="A32"/>
    </sheetView>
  </sheetViews>
  <sheetFormatPr defaultRowHeight="15" x14ac:dyDescent="0.25"/>
  <cols>
    <col min="1" max="1" width="8.7109375" style="1"/>
    <col min="2" max="2" width="15" customWidth="1"/>
    <col min="3" max="3" width="9.42578125" customWidth="1"/>
    <col min="4" max="4" width="10.42578125" style="10" customWidth="1"/>
    <col min="5" max="6" width="10.42578125" style="8" customWidth="1"/>
    <col min="7" max="7" width="10.140625" style="6" bestFit="1" customWidth="1"/>
    <col min="8" max="8" width="13.5703125" customWidth="1"/>
  </cols>
  <sheetData>
    <row r="1" spans="1:8" x14ac:dyDescent="0.25">
      <c r="A1" s="4" t="s">
        <v>18</v>
      </c>
      <c r="B1" s="4" t="s">
        <v>0</v>
      </c>
      <c r="C1" s="4" t="s">
        <v>1</v>
      </c>
      <c r="D1" s="9" t="s">
        <v>2</v>
      </c>
      <c r="E1" s="7" t="s">
        <v>22</v>
      </c>
      <c r="F1" s="7" t="s">
        <v>21</v>
      </c>
      <c r="G1" s="5" t="s">
        <v>3</v>
      </c>
      <c r="H1" s="4" t="s">
        <v>25</v>
      </c>
    </row>
    <row r="2" spans="1:8" x14ac:dyDescent="0.25">
      <c r="A2" s="4">
        <f>ROW()-1</f>
        <v>1</v>
      </c>
      <c r="B2" s="4" t="s">
        <v>4</v>
      </c>
      <c r="C2" s="4" t="s">
        <v>20</v>
      </c>
      <c r="D2" s="9">
        <v>43</v>
      </c>
      <c r="E2" s="7">
        <v>24.839999999999996</v>
      </c>
      <c r="F2" s="7">
        <v>1068.1199999999999</v>
      </c>
      <c r="G2" s="5">
        <v>43866</v>
      </c>
      <c r="H2" s="4" t="s">
        <v>30</v>
      </c>
    </row>
    <row r="3" spans="1:8" x14ac:dyDescent="0.25">
      <c r="A3" s="4">
        <f t="shared" ref="A3:A29" si="0">ROW()-1</f>
        <v>2</v>
      </c>
      <c r="B3" s="4" t="s">
        <v>5</v>
      </c>
      <c r="C3" s="4" t="s">
        <v>20</v>
      </c>
      <c r="D3" s="9">
        <v>57</v>
      </c>
      <c r="E3" s="7">
        <v>19.71</v>
      </c>
      <c r="F3" s="7">
        <v>1123.47</v>
      </c>
      <c r="G3" s="5">
        <v>43867</v>
      </c>
      <c r="H3" s="4" t="s">
        <v>30</v>
      </c>
    </row>
    <row r="4" spans="1:8" x14ac:dyDescent="0.25">
      <c r="A4" s="4">
        <f t="shared" si="0"/>
        <v>3</v>
      </c>
      <c r="B4" s="4" t="s">
        <v>6</v>
      </c>
      <c r="C4" s="4" t="s">
        <v>20</v>
      </c>
      <c r="D4" s="9">
        <v>40</v>
      </c>
      <c r="E4" s="7">
        <v>20.88</v>
      </c>
      <c r="F4" s="7">
        <v>835.19999999999993</v>
      </c>
      <c r="G4" s="5">
        <v>43868</v>
      </c>
      <c r="H4" s="4" t="s">
        <v>30</v>
      </c>
    </row>
    <row r="5" spans="1:8" x14ac:dyDescent="0.25">
      <c r="A5" s="4">
        <f t="shared" si="0"/>
        <v>4</v>
      </c>
      <c r="B5" s="4" t="s">
        <v>7</v>
      </c>
      <c r="C5" s="4" t="s">
        <v>20</v>
      </c>
      <c r="D5" s="9">
        <v>41</v>
      </c>
      <c r="E5" s="7">
        <v>17.920000000000002</v>
      </c>
      <c r="F5" s="7">
        <v>734.72</v>
      </c>
      <c r="G5" s="5">
        <v>43868</v>
      </c>
      <c r="H5" s="4" t="s">
        <v>30</v>
      </c>
    </row>
    <row r="6" spans="1:8" x14ac:dyDescent="0.25">
      <c r="A6" s="4">
        <f t="shared" si="0"/>
        <v>5</v>
      </c>
      <c r="B6" s="4" t="s">
        <v>8</v>
      </c>
      <c r="C6" s="4" t="s">
        <v>20</v>
      </c>
      <c r="D6" s="9">
        <v>44</v>
      </c>
      <c r="E6" s="7">
        <v>29.25</v>
      </c>
      <c r="F6" s="7">
        <v>1287</v>
      </c>
      <c r="G6" s="5">
        <v>43868</v>
      </c>
      <c r="H6" s="4" t="s">
        <v>30</v>
      </c>
    </row>
    <row r="7" spans="1:8" x14ac:dyDescent="0.25">
      <c r="A7" s="4">
        <f t="shared" si="0"/>
        <v>6</v>
      </c>
      <c r="B7" s="4" t="s">
        <v>9</v>
      </c>
      <c r="C7" s="4" t="s">
        <v>20</v>
      </c>
      <c r="D7" s="9">
        <v>60</v>
      </c>
      <c r="E7" s="7">
        <v>16.64</v>
      </c>
      <c r="F7" s="7">
        <v>998.40000000000009</v>
      </c>
      <c r="G7" s="5">
        <v>43868</v>
      </c>
      <c r="H7" s="4" t="s">
        <v>30</v>
      </c>
    </row>
    <row r="8" spans="1:8" x14ac:dyDescent="0.25">
      <c r="A8" s="4">
        <f t="shared" si="0"/>
        <v>7</v>
      </c>
      <c r="B8" s="4" t="s">
        <v>10</v>
      </c>
      <c r="C8" s="4" t="s">
        <v>20</v>
      </c>
      <c r="D8" s="9">
        <v>54</v>
      </c>
      <c r="E8" s="7">
        <v>24.48</v>
      </c>
      <c r="F8" s="7">
        <v>1321.92</v>
      </c>
      <c r="G8" s="5">
        <v>43868</v>
      </c>
      <c r="H8" s="4" t="s">
        <v>30</v>
      </c>
    </row>
    <row r="9" spans="1:8" x14ac:dyDescent="0.25">
      <c r="A9" s="4">
        <f t="shared" si="0"/>
        <v>8</v>
      </c>
      <c r="B9" s="4" t="s">
        <v>11</v>
      </c>
      <c r="C9" s="4" t="s">
        <v>20</v>
      </c>
      <c r="D9" s="9">
        <v>70</v>
      </c>
      <c r="E9" s="7">
        <v>24.48</v>
      </c>
      <c r="F9" s="7">
        <v>1713.6000000000001</v>
      </c>
      <c r="G9" s="5">
        <v>43868</v>
      </c>
      <c r="H9" s="4" t="s">
        <v>30</v>
      </c>
    </row>
    <row r="10" spans="1:8" x14ac:dyDescent="0.25">
      <c r="A10" s="4">
        <f t="shared" si="0"/>
        <v>9</v>
      </c>
      <c r="B10" s="4" t="s">
        <v>12</v>
      </c>
      <c r="C10" s="4" t="s">
        <v>20</v>
      </c>
      <c r="D10" s="9">
        <v>46</v>
      </c>
      <c r="E10" s="7">
        <v>13.02</v>
      </c>
      <c r="F10" s="7">
        <v>598.91999999999996</v>
      </c>
      <c r="G10" s="5">
        <v>43868</v>
      </c>
      <c r="H10" s="4" t="s">
        <v>30</v>
      </c>
    </row>
    <row r="11" spans="1:8" x14ac:dyDescent="0.25">
      <c r="A11" s="4">
        <f t="shared" si="0"/>
        <v>10</v>
      </c>
      <c r="B11" s="4" t="s">
        <v>13</v>
      </c>
      <c r="C11" s="4" t="s">
        <v>20</v>
      </c>
      <c r="D11" s="9">
        <v>32</v>
      </c>
      <c r="E11" s="7">
        <v>16.28</v>
      </c>
      <c r="F11" s="7">
        <v>520.96</v>
      </c>
      <c r="G11" s="5">
        <v>43868</v>
      </c>
      <c r="H11" s="4" t="s">
        <v>30</v>
      </c>
    </row>
    <row r="12" spans="1:8" x14ac:dyDescent="0.25">
      <c r="A12" s="4">
        <f t="shared" si="0"/>
        <v>11</v>
      </c>
      <c r="B12" s="4" t="s">
        <v>14</v>
      </c>
      <c r="C12" s="4" t="s">
        <v>20</v>
      </c>
      <c r="D12" s="9">
        <v>51</v>
      </c>
      <c r="E12" s="7">
        <v>26.599999999999998</v>
      </c>
      <c r="F12" s="7">
        <v>1356.6</v>
      </c>
      <c r="G12" s="5">
        <v>43868</v>
      </c>
      <c r="H12" s="4" t="s">
        <v>30</v>
      </c>
    </row>
    <row r="13" spans="1:8" x14ac:dyDescent="0.25">
      <c r="A13" s="4">
        <f t="shared" si="0"/>
        <v>12</v>
      </c>
      <c r="B13" s="4" t="s">
        <v>15</v>
      </c>
      <c r="C13" s="4" t="s">
        <v>20</v>
      </c>
      <c r="D13" s="9">
        <v>34</v>
      </c>
      <c r="E13" s="7">
        <v>15.96</v>
      </c>
      <c r="F13" s="7">
        <v>542.64</v>
      </c>
      <c r="G13" s="5">
        <v>43869</v>
      </c>
      <c r="H13" s="4" t="s">
        <v>30</v>
      </c>
    </row>
    <row r="14" spans="1:8" x14ac:dyDescent="0.25">
      <c r="A14" s="4">
        <f t="shared" si="0"/>
        <v>13</v>
      </c>
      <c r="B14" s="4" t="s">
        <v>16</v>
      </c>
      <c r="C14" s="4" t="s">
        <v>20</v>
      </c>
      <c r="D14" s="9">
        <v>47</v>
      </c>
      <c r="E14" s="7">
        <v>22.94</v>
      </c>
      <c r="F14" s="7">
        <v>1078.18</v>
      </c>
      <c r="G14" s="5">
        <v>43869</v>
      </c>
      <c r="H14" s="4" t="s">
        <v>30</v>
      </c>
    </row>
    <row r="15" spans="1:8" x14ac:dyDescent="0.25">
      <c r="A15" s="4">
        <f t="shared" si="0"/>
        <v>14</v>
      </c>
      <c r="B15" s="4" t="s">
        <v>17</v>
      </c>
      <c r="C15" s="4" t="s">
        <v>20</v>
      </c>
      <c r="D15" s="9">
        <v>69</v>
      </c>
      <c r="E15" s="7">
        <v>15.12</v>
      </c>
      <c r="F15" s="7">
        <v>1043.28</v>
      </c>
      <c r="G15" s="5">
        <v>43869</v>
      </c>
      <c r="H15" s="4" t="s">
        <v>30</v>
      </c>
    </row>
    <row r="16" spans="1:8" x14ac:dyDescent="0.25">
      <c r="A16" s="4">
        <f t="shared" si="0"/>
        <v>15</v>
      </c>
      <c r="B16" s="4" t="s">
        <v>4</v>
      </c>
      <c r="C16" s="4" t="s">
        <v>19</v>
      </c>
      <c r="D16" s="9">
        <v>24</v>
      </c>
      <c r="E16" s="7">
        <v>36</v>
      </c>
      <c r="F16" s="7">
        <v>864</v>
      </c>
      <c r="G16" s="5">
        <v>43866</v>
      </c>
      <c r="H16" s="4">
        <v>267.84000000000015</v>
      </c>
    </row>
    <row r="17" spans="1:8" x14ac:dyDescent="0.25">
      <c r="A17" s="4">
        <f t="shared" si="0"/>
        <v>16</v>
      </c>
      <c r="B17" s="4" t="s">
        <v>5</v>
      </c>
      <c r="C17" s="4" t="s">
        <v>19</v>
      </c>
      <c r="D17" s="9">
        <v>22</v>
      </c>
      <c r="E17" s="7">
        <v>27</v>
      </c>
      <c r="F17" s="7">
        <v>594</v>
      </c>
      <c r="G17" s="5">
        <v>43867</v>
      </c>
      <c r="H17" s="4">
        <v>160.38</v>
      </c>
    </row>
    <row r="18" spans="1:8" x14ac:dyDescent="0.25">
      <c r="A18" s="4">
        <f t="shared" si="0"/>
        <v>17</v>
      </c>
      <c r="B18" s="4" t="s">
        <v>6</v>
      </c>
      <c r="C18" s="4" t="s">
        <v>19</v>
      </c>
      <c r="D18" s="9">
        <v>22</v>
      </c>
      <c r="E18" s="7">
        <v>29</v>
      </c>
      <c r="F18" s="7">
        <v>638</v>
      </c>
      <c r="G18" s="5">
        <v>43868</v>
      </c>
      <c r="H18" s="4">
        <v>178.64000000000004</v>
      </c>
    </row>
    <row r="19" spans="1:8" x14ac:dyDescent="0.25">
      <c r="A19" s="4">
        <f t="shared" si="0"/>
        <v>18</v>
      </c>
      <c r="B19" s="4" t="s">
        <v>7</v>
      </c>
      <c r="C19" s="4" t="s">
        <v>19</v>
      </c>
      <c r="D19" s="9">
        <v>21</v>
      </c>
      <c r="E19" s="7">
        <v>28.35</v>
      </c>
      <c r="F19" s="7">
        <v>595.35</v>
      </c>
      <c r="G19" s="5">
        <v>43868</v>
      </c>
      <c r="H19" s="4">
        <v>219.02999999999997</v>
      </c>
    </row>
    <row r="20" spans="1:8" x14ac:dyDescent="0.25">
      <c r="A20" s="4">
        <f t="shared" si="0"/>
        <v>19</v>
      </c>
      <c r="B20" s="4" t="s">
        <v>8</v>
      </c>
      <c r="C20" s="4" t="s">
        <v>19</v>
      </c>
      <c r="D20" s="9">
        <v>21</v>
      </c>
      <c r="E20" s="7">
        <v>39</v>
      </c>
      <c r="F20" s="7">
        <v>819</v>
      </c>
      <c r="G20" s="5">
        <v>43868</v>
      </c>
      <c r="H20" s="4">
        <v>204.75</v>
      </c>
    </row>
    <row r="21" spans="1:8" x14ac:dyDescent="0.25">
      <c r="A21" s="4">
        <f t="shared" si="0"/>
        <v>20</v>
      </c>
      <c r="B21" s="4" t="s">
        <v>9</v>
      </c>
      <c r="C21" s="4" t="s">
        <v>19</v>
      </c>
      <c r="D21" s="9">
        <v>12</v>
      </c>
      <c r="E21" s="7">
        <v>26</v>
      </c>
      <c r="F21" s="7">
        <v>312</v>
      </c>
      <c r="G21" s="5">
        <v>43869</v>
      </c>
      <c r="H21" s="4">
        <v>112.32</v>
      </c>
    </row>
    <row r="22" spans="1:8" x14ac:dyDescent="0.25">
      <c r="A22" s="4">
        <f t="shared" si="0"/>
        <v>21</v>
      </c>
      <c r="B22" s="4" t="s">
        <v>10</v>
      </c>
      <c r="C22" s="4" t="s">
        <v>19</v>
      </c>
      <c r="D22" s="9">
        <v>16</v>
      </c>
      <c r="E22" s="7">
        <v>34</v>
      </c>
      <c r="F22" s="7">
        <v>544</v>
      </c>
      <c r="G22" s="5">
        <v>43869</v>
      </c>
      <c r="H22" s="4">
        <v>152.32</v>
      </c>
    </row>
    <row r="23" spans="1:8" x14ac:dyDescent="0.25">
      <c r="A23" s="4">
        <f t="shared" si="0"/>
        <v>22</v>
      </c>
      <c r="B23" s="4" t="s">
        <v>11</v>
      </c>
      <c r="C23" s="4" t="s">
        <v>19</v>
      </c>
      <c r="D23" s="9">
        <v>14</v>
      </c>
      <c r="E23" s="7">
        <v>36</v>
      </c>
      <c r="F23" s="7">
        <v>504</v>
      </c>
      <c r="G23" s="5">
        <v>43869</v>
      </c>
      <c r="H23" s="4">
        <v>161.27999999999997</v>
      </c>
    </row>
    <row r="24" spans="1:8" x14ac:dyDescent="0.25">
      <c r="A24" s="4">
        <f t="shared" si="0"/>
        <v>23</v>
      </c>
      <c r="B24" s="4" t="s">
        <v>12</v>
      </c>
      <c r="C24" s="4" t="s">
        <v>19</v>
      </c>
      <c r="D24" s="9">
        <v>14</v>
      </c>
      <c r="E24" s="7">
        <v>21</v>
      </c>
      <c r="F24" s="7">
        <v>294</v>
      </c>
      <c r="G24" s="5">
        <v>43869</v>
      </c>
      <c r="H24" s="4">
        <v>111.72</v>
      </c>
    </row>
    <row r="25" spans="1:8" x14ac:dyDescent="0.25">
      <c r="A25" s="4">
        <f t="shared" si="0"/>
        <v>24</v>
      </c>
      <c r="B25" s="4" t="s">
        <v>13</v>
      </c>
      <c r="C25" s="4" t="s">
        <v>19</v>
      </c>
      <c r="D25" s="9">
        <v>25</v>
      </c>
      <c r="E25" s="7">
        <v>22</v>
      </c>
      <c r="F25" s="7">
        <v>550</v>
      </c>
      <c r="G25" s="5">
        <v>43869</v>
      </c>
      <c r="H25" s="4">
        <v>143</v>
      </c>
    </row>
    <row r="26" spans="1:8" x14ac:dyDescent="0.25">
      <c r="A26" s="4">
        <f t="shared" si="0"/>
        <v>25</v>
      </c>
      <c r="B26" s="4" t="s">
        <v>14</v>
      </c>
      <c r="C26" s="4" t="s">
        <v>19</v>
      </c>
      <c r="D26" s="9">
        <v>14</v>
      </c>
      <c r="E26" s="7">
        <v>38</v>
      </c>
      <c r="F26" s="7">
        <v>532</v>
      </c>
      <c r="G26" s="5">
        <v>43869</v>
      </c>
      <c r="H26" s="4">
        <v>159.60000000000002</v>
      </c>
    </row>
    <row r="27" spans="1:8" x14ac:dyDescent="0.25">
      <c r="A27" s="4">
        <f t="shared" si="0"/>
        <v>26</v>
      </c>
      <c r="B27" s="4" t="s">
        <v>15</v>
      </c>
      <c r="C27" s="4" t="s">
        <v>19</v>
      </c>
      <c r="D27" s="9">
        <v>18</v>
      </c>
      <c r="E27" s="7">
        <v>21</v>
      </c>
      <c r="F27" s="7">
        <v>378</v>
      </c>
      <c r="G27" s="5">
        <v>43869</v>
      </c>
      <c r="H27" s="4">
        <v>90.71999999999997</v>
      </c>
    </row>
    <row r="28" spans="1:8" x14ac:dyDescent="0.25">
      <c r="A28" s="4">
        <f t="shared" si="0"/>
        <v>27</v>
      </c>
      <c r="B28" s="4" t="s">
        <v>16</v>
      </c>
      <c r="C28" s="4" t="s">
        <v>19</v>
      </c>
      <c r="D28" s="9">
        <v>13</v>
      </c>
      <c r="E28" s="7">
        <v>37</v>
      </c>
      <c r="F28" s="7">
        <v>481</v>
      </c>
      <c r="G28" s="5">
        <v>43869</v>
      </c>
      <c r="H28" s="4">
        <v>182.77999999999997</v>
      </c>
    </row>
    <row r="29" spans="1:8" x14ac:dyDescent="0.25">
      <c r="A29" s="4">
        <f t="shared" si="0"/>
        <v>28</v>
      </c>
      <c r="B29" s="4" t="s">
        <v>17</v>
      </c>
      <c r="C29" s="4" t="s">
        <v>19</v>
      </c>
      <c r="D29" s="9">
        <v>25</v>
      </c>
      <c r="E29" s="7">
        <v>21</v>
      </c>
      <c r="F29" s="7">
        <v>525</v>
      </c>
      <c r="G29" s="5">
        <v>43869</v>
      </c>
      <c r="H29" s="4">
        <v>147</v>
      </c>
    </row>
    <row r="30" spans="1:8" x14ac:dyDescent="0.25">
      <c r="A30" s="1">
        <f>ROW()-1</f>
        <v>29</v>
      </c>
      <c r="B30" t="s">
        <v>13</v>
      </c>
      <c r="C30" t="s">
        <v>20</v>
      </c>
      <c r="D30" s="10">
        <v>100</v>
      </c>
      <c r="E30" s="8">
        <v>16.28</v>
      </c>
      <c r="F30" s="8">
        <v>1628</v>
      </c>
      <c r="G30" s="6">
        <v>43869</v>
      </c>
      <c r="H30" t="s">
        <v>30</v>
      </c>
    </row>
    <row r="31" spans="1:8" x14ac:dyDescent="0.25">
      <c r="A31" s="1">
        <f>ROW()-1</f>
        <v>30</v>
      </c>
      <c r="B31" t="s">
        <v>13</v>
      </c>
      <c r="C31" t="s">
        <v>19</v>
      </c>
      <c r="D31" s="10">
        <v>5</v>
      </c>
      <c r="E31" s="8">
        <v>22</v>
      </c>
      <c r="F31" s="8">
        <v>110</v>
      </c>
      <c r="G31" s="6">
        <v>43869</v>
      </c>
      <c r="H31">
        <v>28.599999999999994</v>
      </c>
    </row>
    <row r="32" spans="1:8" x14ac:dyDescent="0.25">
      <c r="A32" s="1">
        <f>ROW()-1</f>
        <v>31</v>
      </c>
      <c r="B32" t="s">
        <v>31</v>
      </c>
      <c r="C32" t="s">
        <v>20</v>
      </c>
      <c r="D32" s="10">
        <v>50</v>
      </c>
      <c r="E32" s="8">
        <v>10.35</v>
      </c>
      <c r="F32" s="8">
        <v>517.5</v>
      </c>
      <c r="G32" s="6">
        <v>43869</v>
      </c>
      <c r="H32" t="s">
        <v>30</v>
      </c>
    </row>
    <row r="33" spans="1:8" x14ac:dyDescent="0.25">
      <c r="A33" s="1">
        <f>ROW()-1</f>
        <v>32</v>
      </c>
      <c r="B33" t="s">
        <v>10</v>
      </c>
      <c r="C33" t="s">
        <v>19</v>
      </c>
      <c r="D33" s="10">
        <v>20</v>
      </c>
      <c r="E33" s="8">
        <v>40</v>
      </c>
      <c r="F33" s="8">
        <v>800</v>
      </c>
      <c r="G33" s="6">
        <v>44346</v>
      </c>
      <c r="H33">
        <v>310.39999999999998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33"/>
  <sheetViews>
    <sheetView showGridLines="0" workbookViewId="0">
      <selection sqref="A1:N24"/>
    </sheetView>
  </sheetViews>
  <sheetFormatPr defaultRowHeight="15" x14ac:dyDescent="0.25"/>
  <sheetData>
    <row r="1" spans="1:14" x14ac:dyDescent="0.25">
      <c r="A1" t="s">
        <v>43</v>
      </c>
      <c r="B1" t="s">
        <v>44</v>
      </c>
      <c r="C1" s="8" t="s">
        <v>45</v>
      </c>
      <c r="D1" s="8" t="s">
        <v>46</v>
      </c>
      <c r="E1" t="s">
        <v>47</v>
      </c>
      <c r="F1" t="s">
        <v>26</v>
      </c>
      <c r="G1" t="s">
        <v>49</v>
      </c>
      <c r="H1" t="s">
        <v>50</v>
      </c>
      <c r="I1" t="s">
        <v>56</v>
      </c>
      <c r="J1" t="s">
        <v>19</v>
      </c>
      <c r="K1" t="s">
        <v>55</v>
      </c>
      <c r="N1">
        <v>431</v>
      </c>
    </row>
    <row r="2" spans="1:14" x14ac:dyDescent="0.25">
      <c r="A2">
        <v>4709</v>
      </c>
      <c r="B2" t="s">
        <v>64</v>
      </c>
      <c r="C2" s="8" t="s">
        <v>80</v>
      </c>
      <c r="D2" s="8" t="s">
        <v>92</v>
      </c>
      <c r="E2" s="6">
        <v>44625</v>
      </c>
      <c r="F2">
        <v>10</v>
      </c>
      <c r="G2">
        <v>78</v>
      </c>
      <c r="H2">
        <v>780</v>
      </c>
      <c r="I2">
        <v>15</v>
      </c>
      <c r="J2">
        <v>5</v>
      </c>
      <c r="K2">
        <v>80</v>
      </c>
      <c r="N2" s="6"/>
    </row>
    <row r="3" spans="1:14" x14ac:dyDescent="0.25">
      <c r="A3">
        <v>4701</v>
      </c>
      <c r="B3" t="s">
        <v>57</v>
      </c>
      <c r="C3" s="8" t="s">
        <v>77</v>
      </c>
      <c r="D3" s="8" t="s">
        <v>83</v>
      </c>
      <c r="E3" s="6">
        <v>44617</v>
      </c>
      <c r="F3">
        <v>12</v>
      </c>
      <c r="G3">
        <v>68</v>
      </c>
      <c r="H3">
        <v>816</v>
      </c>
      <c r="I3">
        <v>20</v>
      </c>
      <c r="J3">
        <v>8</v>
      </c>
      <c r="K3">
        <v>80</v>
      </c>
      <c r="M3" t="s">
        <v>52</v>
      </c>
      <c r="N3">
        <v>58257</v>
      </c>
    </row>
    <row r="4" spans="1:14" x14ac:dyDescent="0.25">
      <c r="A4">
        <v>4700</v>
      </c>
      <c r="B4" t="s">
        <v>78</v>
      </c>
      <c r="C4" s="8" t="s">
        <v>77</v>
      </c>
      <c r="D4" s="8" t="s">
        <v>82</v>
      </c>
      <c r="E4" s="6">
        <v>44617</v>
      </c>
      <c r="F4">
        <v>15</v>
      </c>
      <c r="G4">
        <v>96</v>
      </c>
      <c r="H4">
        <v>1440</v>
      </c>
      <c r="I4">
        <v>30</v>
      </c>
      <c r="J4">
        <v>15</v>
      </c>
      <c r="K4">
        <v>110</v>
      </c>
      <c r="M4" t="s">
        <v>51</v>
      </c>
      <c r="N4" s="6"/>
    </row>
    <row r="5" spans="1:14" x14ac:dyDescent="0.25">
      <c r="A5">
        <v>4704</v>
      </c>
      <c r="B5" t="s">
        <v>59</v>
      </c>
      <c r="C5" s="8" t="s">
        <v>80</v>
      </c>
      <c r="D5" s="8" t="s">
        <v>87</v>
      </c>
      <c r="E5" s="6">
        <v>44617</v>
      </c>
      <c r="F5">
        <v>15</v>
      </c>
      <c r="G5">
        <v>98</v>
      </c>
      <c r="H5">
        <v>1470</v>
      </c>
      <c r="I5">
        <v>30</v>
      </c>
      <c r="J5">
        <v>15</v>
      </c>
      <c r="K5">
        <v>20</v>
      </c>
      <c r="N5" s="6"/>
    </row>
    <row r="6" spans="1:14" x14ac:dyDescent="0.25">
      <c r="A6">
        <v>4706</v>
      </c>
      <c r="B6" t="s">
        <v>61</v>
      </c>
      <c r="C6" s="8" t="s">
        <v>80</v>
      </c>
      <c r="D6" s="8" t="s">
        <v>89</v>
      </c>
      <c r="E6" s="6">
        <v>44617</v>
      </c>
      <c r="F6">
        <v>25</v>
      </c>
      <c r="G6">
        <v>44</v>
      </c>
      <c r="H6">
        <v>1100</v>
      </c>
      <c r="I6">
        <v>40</v>
      </c>
      <c r="J6">
        <v>15</v>
      </c>
      <c r="K6">
        <v>50</v>
      </c>
      <c r="N6" s="6"/>
    </row>
    <row r="7" spans="1:14" x14ac:dyDescent="0.25">
      <c r="A7">
        <v>4707</v>
      </c>
      <c r="B7" t="s">
        <v>62</v>
      </c>
      <c r="C7" s="8" t="s">
        <v>80</v>
      </c>
      <c r="D7" s="8" t="s">
        <v>90</v>
      </c>
      <c r="E7" s="6">
        <v>44617</v>
      </c>
      <c r="F7">
        <v>30</v>
      </c>
      <c r="G7">
        <v>60</v>
      </c>
      <c r="H7">
        <v>1800</v>
      </c>
      <c r="I7">
        <v>40</v>
      </c>
      <c r="J7">
        <v>10</v>
      </c>
      <c r="K7">
        <v>35</v>
      </c>
    </row>
    <row r="8" spans="1:14" x14ac:dyDescent="0.25">
      <c r="A8">
        <v>4719</v>
      </c>
      <c r="B8" t="s">
        <v>74</v>
      </c>
      <c r="C8" s="8" t="s">
        <v>80</v>
      </c>
      <c r="D8" s="8" t="s">
        <v>84</v>
      </c>
      <c r="E8" s="6">
        <v>44633</v>
      </c>
      <c r="F8">
        <v>23</v>
      </c>
      <c r="G8">
        <v>78</v>
      </c>
      <c r="H8">
        <v>1794</v>
      </c>
      <c r="I8">
        <v>40</v>
      </c>
      <c r="J8">
        <v>17</v>
      </c>
      <c r="K8">
        <v>60</v>
      </c>
      <c r="N8" s="6"/>
    </row>
    <row r="9" spans="1:14" x14ac:dyDescent="0.25">
      <c r="A9">
        <v>4705</v>
      </c>
      <c r="B9" t="s">
        <v>60</v>
      </c>
      <c r="C9" s="8" t="s">
        <v>80</v>
      </c>
      <c r="D9" s="8" t="s">
        <v>88</v>
      </c>
      <c r="E9" s="6">
        <v>44617</v>
      </c>
      <c r="F9">
        <v>20</v>
      </c>
      <c r="G9">
        <v>78</v>
      </c>
      <c r="H9">
        <v>1560</v>
      </c>
      <c r="I9">
        <v>50</v>
      </c>
      <c r="J9">
        <v>30</v>
      </c>
      <c r="K9">
        <v>90</v>
      </c>
      <c r="N9">
        <v>72</v>
      </c>
    </row>
    <row r="10" spans="1:14" x14ac:dyDescent="0.25">
      <c r="A10">
        <v>4714</v>
      </c>
      <c r="B10" t="s">
        <v>69</v>
      </c>
      <c r="C10" s="8" t="s">
        <v>80</v>
      </c>
      <c r="D10" s="8" t="s">
        <v>97</v>
      </c>
      <c r="E10" s="6">
        <v>44625</v>
      </c>
      <c r="F10">
        <v>40</v>
      </c>
      <c r="G10">
        <v>30</v>
      </c>
      <c r="H10">
        <v>1200</v>
      </c>
      <c r="I10">
        <v>50</v>
      </c>
      <c r="J10">
        <v>10</v>
      </c>
      <c r="K10">
        <v>40</v>
      </c>
    </row>
    <row r="11" spans="1:14" x14ac:dyDescent="0.25">
      <c r="A11">
        <v>4720</v>
      </c>
      <c r="B11" t="s">
        <v>75</v>
      </c>
      <c r="C11" s="8" t="s">
        <v>81</v>
      </c>
      <c r="D11" s="8" t="s">
        <v>101</v>
      </c>
      <c r="E11" s="6">
        <v>44633</v>
      </c>
      <c r="F11">
        <v>45</v>
      </c>
      <c r="G11">
        <v>78</v>
      </c>
      <c r="H11">
        <v>3510</v>
      </c>
      <c r="I11">
        <v>50</v>
      </c>
      <c r="J11">
        <v>5</v>
      </c>
      <c r="K11">
        <v>80</v>
      </c>
      <c r="N11" s="6"/>
    </row>
    <row r="12" spans="1:14" x14ac:dyDescent="0.25">
      <c r="A12">
        <v>4721</v>
      </c>
      <c r="B12" t="s">
        <v>76</v>
      </c>
      <c r="C12" s="8" t="s">
        <v>80</v>
      </c>
      <c r="D12" s="8" t="s">
        <v>102</v>
      </c>
      <c r="E12" s="6">
        <v>44633</v>
      </c>
      <c r="F12">
        <v>69</v>
      </c>
      <c r="G12">
        <v>34</v>
      </c>
      <c r="H12">
        <v>2346</v>
      </c>
      <c r="I12">
        <v>50</v>
      </c>
      <c r="J12">
        <v>-19</v>
      </c>
      <c r="K12">
        <v>80</v>
      </c>
      <c r="N12" s="6"/>
    </row>
    <row r="13" spans="1:14" x14ac:dyDescent="0.25">
      <c r="A13">
        <v>4708</v>
      </c>
      <c r="B13" t="s">
        <v>63</v>
      </c>
      <c r="C13" s="8" t="s">
        <v>80</v>
      </c>
      <c r="D13" s="8" t="s">
        <v>91</v>
      </c>
      <c r="E13" s="6">
        <v>44625</v>
      </c>
      <c r="F13">
        <v>35</v>
      </c>
      <c r="G13">
        <v>67</v>
      </c>
      <c r="H13">
        <v>2345</v>
      </c>
      <c r="I13">
        <v>60</v>
      </c>
      <c r="J13">
        <v>25</v>
      </c>
      <c r="K13">
        <v>70</v>
      </c>
    </row>
    <row r="14" spans="1:14" x14ac:dyDescent="0.25">
      <c r="A14">
        <v>4710</v>
      </c>
      <c r="B14" t="s">
        <v>66</v>
      </c>
      <c r="C14" s="8" t="s">
        <v>81</v>
      </c>
      <c r="D14" s="8" t="s">
        <v>93</v>
      </c>
      <c r="E14" s="6">
        <v>44625</v>
      </c>
      <c r="F14">
        <v>60</v>
      </c>
      <c r="G14">
        <v>60</v>
      </c>
      <c r="H14">
        <v>3600</v>
      </c>
      <c r="I14">
        <v>70</v>
      </c>
      <c r="J14">
        <v>10</v>
      </c>
      <c r="K14">
        <v>65</v>
      </c>
      <c r="N14" s="6"/>
    </row>
    <row r="15" spans="1:14" x14ac:dyDescent="0.25">
      <c r="A15">
        <v>4715</v>
      </c>
      <c r="B15" t="s">
        <v>70</v>
      </c>
      <c r="C15" s="8" t="s">
        <v>80</v>
      </c>
      <c r="D15" s="8" t="s">
        <v>98</v>
      </c>
      <c r="E15" s="6">
        <v>44625</v>
      </c>
      <c r="F15">
        <v>31</v>
      </c>
      <c r="G15">
        <v>20</v>
      </c>
      <c r="H15">
        <v>620</v>
      </c>
      <c r="I15">
        <v>70</v>
      </c>
      <c r="J15">
        <v>39</v>
      </c>
      <c r="K15">
        <v>35</v>
      </c>
      <c r="N15" s="6"/>
    </row>
    <row r="16" spans="1:14" x14ac:dyDescent="0.25">
      <c r="A16">
        <v>4716</v>
      </c>
      <c r="B16" t="s">
        <v>71</v>
      </c>
      <c r="C16" s="8" t="s">
        <v>77</v>
      </c>
      <c r="D16" s="8" t="s">
        <v>99</v>
      </c>
      <c r="E16" s="6">
        <v>44633</v>
      </c>
      <c r="F16">
        <v>69</v>
      </c>
      <c r="G16">
        <v>50</v>
      </c>
      <c r="H16">
        <v>3450</v>
      </c>
      <c r="I16">
        <v>70</v>
      </c>
      <c r="J16">
        <v>1</v>
      </c>
      <c r="K16">
        <v>70</v>
      </c>
    </row>
    <row r="17" spans="1:14" x14ac:dyDescent="0.25">
      <c r="A17">
        <v>4702</v>
      </c>
      <c r="B17" t="s">
        <v>79</v>
      </c>
      <c r="C17" s="8" t="s">
        <v>77</v>
      </c>
      <c r="D17" s="8" t="s">
        <v>85</v>
      </c>
      <c r="E17" s="6">
        <v>44617</v>
      </c>
      <c r="F17">
        <v>88</v>
      </c>
      <c r="G17">
        <v>58</v>
      </c>
      <c r="H17">
        <v>5104</v>
      </c>
      <c r="I17">
        <v>100</v>
      </c>
      <c r="J17">
        <v>12</v>
      </c>
      <c r="K17">
        <v>60</v>
      </c>
      <c r="M17" t="s">
        <v>53</v>
      </c>
      <c r="N17" s="6">
        <v>1054</v>
      </c>
    </row>
    <row r="18" spans="1:14" x14ac:dyDescent="0.25">
      <c r="A18">
        <v>4711</v>
      </c>
      <c r="B18" t="s">
        <v>67</v>
      </c>
      <c r="C18" s="8" t="s">
        <v>81</v>
      </c>
      <c r="D18" s="8" t="s">
        <v>94</v>
      </c>
      <c r="E18" s="6">
        <v>44625</v>
      </c>
      <c r="F18">
        <v>70</v>
      </c>
      <c r="G18">
        <v>50</v>
      </c>
      <c r="H18">
        <v>3500</v>
      </c>
      <c r="I18">
        <v>100</v>
      </c>
      <c r="J18">
        <v>30</v>
      </c>
      <c r="K18">
        <v>60</v>
      </c>
    </row>
    <row r="19" spans="1:14" x14ac:dyDescent="0.25">
      <c r="A19">
        <v>4712</v>
      </c>
      <c r="B19" t="s">
        <v>65</v>
      </c>
      <c r="C19" s="8" t="s">
        <v>81</v>
      </c>
      <c r="D19" s="8" t="s">
        <v>95</v>
      </c>
      <c r="E19" s="6">
        <v>44625</v>
      </c>
      <c r="F19">
        <v>80</v>
      </c>
      <c r="G19">
        <v>23</v>
      </c>
      <c r="H19">
        <v>1840</v>
      </c>
      <c r="I19">
        <v>100</v>
      </c>
      <c r="J19">
        <v>20</v>
      </c>
      <c r="K19">
        <v>30</v>
      </c>
      <c r="N19" s="6"/>
    </row>
    <row r="20" spans="1:14" x14ac:dyDescent="0.25">
      <c r="A20">
        <v>4713</v>
      </c>
      <c r="B20" t="s">
        <v>68</v>
      </c>
      <c r="C20" s="8" t="s">
        <v>80</v>
      </c>
      <c r="D20" s="8" t="s">
        <v>96</v>
      </c>
      <c r="E20" s="6">
        <v>44625</v>
      </c>
      <c r="F20">
        <v>90</v>
      </c>
      <c r="G20">
        <v>40</v>
      </c>
      <c r="H20">
        <v>3600</v>
      </c>
      <c r="I20">
        <v>100</v>
      </c>
      <c r="J20">
        <v>10</v>
      </c>
      <c r="K20">
        <v>45</v>
      </c>
      <c r="N20" s="6"/>
    </row>
    <row r="21" spans="1:14" x14ac:dyDescent="0.25">
      <c r="A21">
        <v>4717</v>
      </c>
      <c r="B21" t="s">
        <v>72</v>
      </c>
      <c r="C21" s="8" t="s">
        <v>80</v>
      </c>
      <c r="D21" s="8" t="s">
        <v>86</v>
      </c>
      <c r="E21" s="6">
        <v>44633</v>
      </c>
      <c r="F21">
        <v>70</v>
      </c>
      <c r="G21">
        <v>67</v>
      </c>
      <c r="H21">
        <v>4690</v>
      </c>
      <c r="I21">
        <v>100</v>
      </c>
      <c r="J21">
        <v>30</v>
      </c>
      <c r="K21">
        <v>75</v>
      </c>
      <c r="N21" s="6"/>
    </row>
    <row r="22" spans="1:14" x14ac:dyDescent="0.25">
      <c r="A22">
        <v>4718</v>
      </c>
      <c r="B22" t="s">
        <v>73</v>
      </c>
      <c r="C22" s="8" t="s">
        <v>80</v>
      </c>
      <c r="D22" s="8" t="s">
        <v>100</v>
      </c>
      <c r="E22" s="6">
        <v>44633</v>
      </c>
      <c r="F22">
        <v>57</v>
      </c>
      <c r="G22">
        <v>56</v>
      </c>
      <c r="H22">
        <v>3192</v>
      </c>
      <c r="I22">
        <v>100</v>
      </c>
      <c r="J22">
        <v>43</v>
      </c>
      <c r="K22">
        <v>65</v>
      </c>
      <c r="N22" s="6"/>
    </row>
    <row r="23" spans="1:14" x14ac:dyDescent="0.25">
      <c r="A23">
        <v>4703</v>
      </c>
      <c r="B23" t="s">
        <v>58</v>
      </c>
      <c r="C23" s="8" t="s">
        <v>80</v>
      </c>
      <c r="D23" s="8" t="s">
        <v>86</v>
      </c>
      <c r="E23" s="6">
        <v>44617</v>
      </c>
      <c r="F23">
        <v>100</v>
      </c>
      <c r="G23">
        <v>85</v>
      </c>
      <c r="H23">
        <v>8500</v>
      </c>
      <c r="I23">
        <v>200</v>
      </c>
      <c r="J23">
        <v>100</v>
      </c>
      <c r="K23">
        <v>90</v>
      </c>
      <c r="M23" t="s">
        <v>54</v>
      </c>
      <c r="N23" s="6"/>
    </row>
    <row r="25" spans="1:14" x14ac:dyDescent="0.25">
      <c r="D25" s="10"/>
      <c r="E25" s="8"/>
      <c r="F25" s="8"/>
      <c r="G25" s="6"/>
    </row>
    <row r="26" spans="1:14" x14ac:dyDescent="0.25">
      <c r="D26" s="10"/>
      <c r="E26" s="8"/>
      <c r="F26" s="8"/>
      <c r="G26" s="6"/>
    </row>
    <row r="27" spans="1:14" x14ac:dyDescent="0.25">
      <c r="D27" s="10"/>
      <c r="E27" s="8"/>
      <c r="F27" s="8"/>
      <c r="G27" s="6"/>
    </row>
    <row r="28" spans="1:14" x14ac:dyDescent="0.25">
      <c r="D28" s="10"/>
      <c r="E28" s="8"/>
      <c r="F28" s="8"/>
      <c r="G28" s="6"/>
    </row>
    <row r="29" spans="1:14" x14ac:dyDescent="0.25">
      <c r="D29" s="10"/>
      <c r="E29" s="8"/>
      <c r="F29" s="8"/>
      <c r="G29" s="6"/>
    </row>
    <row r="30" spans="1:14" x14ac:dyDescent="0.25">
      <c r="D30" s="10"/>
      <c r="E30" s="8"/>
      <c r="F30" s="8"/>
      <c r="G30" s="6"/>
    </row>
    <row r="31" spans="1:14" x14ac:dyDescent="0.25">
      <c r="D31" s="10"/>
      <c r="E31" s="8"/>
      <c r="F31" s="8"/>
      <c r="G31" s="6"/>
    </row>
    <row r="32" spans="1:14" x14ac:dyDescent="0.25">
      <c r="D32" s="10"/>
      <c r="E32" s="8"/>
      <c r="F32" s="8"/>
      <c r="G32" s="6"/>
    </row>
    <row r="33" spans="4:7" x14ac:dyDescent="0.25">
      <c r="D33" s="10"/>
      <c r="E33" s="8"/>
      <c r="F33" s="8"/>
      <c r="G33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N24"/>
  <sheetViews>
    <sheetView showGridLines="0" workbookViewId="0">
      <selection sqref="A1:N24"/>
    </sheetView>
  </sheetViews>
  <sheetFormatPr defaultRowHeight="15" x14ac:dyDescent="0.25"/>
  <cols>
    <col min="1" max="1" width="9.28515625" style="1" customWidth="1"/>
    <col min="2" max="2" width="32.5703125" style="1" bestFit="1" customWidth="1"/>
    <col min="3" max="4" width="15.7109375" style="14" customWidth="1"/>
    <col min="5" max="5" width="20" customWidth="1"/>
    <col min="6" max="6" width="11.28515625" customWidth="1"/>
    <col min="7" max="7" width="10.28515625" customWidth="1"/>
    <col min="8" max="8" width="11" bestFit="1" customWidth="1"/>
    <col min="9" max="9" width="14.85546875" bestFit="1" customWidth="1"/>
  </cols>
  <sheetData>
    <row r="1" spans="1:14" x14ac:dyDescent="0.25">
      <c r="A1" s="4" t="s">
        <v>43</v>
      </c>
      <c r="B1" s="4" t="s">
        <v>44</v>
      </c>
      <c r="C1" s="7" t="s">
        <v>45</v>
      </c>
      <c r="D1" s="7" t="s">
        <v>46</v>
      </c>
      <c r="E1" s="1" t="s">
        <v>47</v>
      </c>
      <c r="F1" t="s">
        <v>26</v>
      </c>
      <c r="G1" t="s">
        <v>49</v>
      </c>
      <c r="H1" t="s">
        <v>50</v>
      </c>
      <c r="I1" t="s">
        <v>56</v>
      </c>
      <c r="J1" t="s">
        <v>19</v>
      </c>
      <c r="K1" t="s">
        <v>55</v>
      </c>
      <c r="N1">
        <v>431</v>
      </c>
    </row>
    <row r="2" spans="1:14" x14ac:dyDescent="0.25">
      <c r="A2" s="4">
        <v>4709</v>
      </c>
      <c r="B2" s="4" t="s">
        <v>64</v>
      </c>
      <c r="C2" s="7" t="s">
        <v>80</v>
      </c>
      <c r="D2" s="7" t="s">
        <v>92</v>
      </c>
      <c r="E2" s="11">
        <v>44625</v>
      </c>
      <c r="F2">
        <v>10</v>
      </c>
      <c r="G2">
        <v>78</v>
      </c>
      <c r="H2">
        <v>780</v>
      </c>
      <c r="I2">
        <v>15</v>
      </c>
      <c r="J2">
        <v>5</v>
      </c>
      <c r="K2">
        <v>80</v>
      </c>
      <c r="N2" s="6"/>
    </row>
    <row r="3" spans="1:14" x14ac:dyDescent="0.25">
      <c r="A3" s="4">
        <v>4701</v>
      </c>
      <c r="B3" s="4" t="s">
        <v>57</v>
      </c>
      <c r="C3" s="7" t="s">
        <v>77</v>
      </c>
      <c r="D3" s="7" t="s">
        <v>83</v>
      </c>
      <c r="E3" s="11">
        <v>44617</v>
      </c>
      <c r="F3">
        <v>12</v>
      </c>
      <c r="G3">
        <v>68</v>
      </c>
      <c r="H3">
        <v>816</v>
      </c>
      <c r="I3">
        <v>20</v>
      </c>
      <c r="J3">
        <v>8</v>
      </c>
      <c r="K3">
        <v>80</v>
      </c>
      <c r="M3" t="s">
        <v>52</v>
      </c>
      <c r="N3">
        <v>58257</v>
      </c>
    </row>
    <row r="4" spans="1:14" x14ac:dyDescent="0.25">
      <c r="A4" s="4">
        <v>4700</v>
      </c>
      <c r="B4" s="4" t="s">
        <v>78</v>
      </c>
      <c r="C4" s="7" t="s">
        <v>77</v>
      </c>
      <c r="D4" s="7" t="s">
        <v>82</v>
      </c>
      <c r="E4" s="11">
        <v>44617</v>
      </c>
      <c r="F4">
        <v>15</v>
      </c>
      <c r="G4">
        <v>96</v>
      </c>
      <c r="H4">
        <v>1440</v>
      </c>
      <c r="I4">
        <v>30</v>
      </c>
      <c r="J4">
        <v>15</v>
      </c>
      <c r="K4">
        <v>110</v>
      </c>
      <c r="M4" t="s">
        <v>51</v>
      </c>
      <c r="N4" s="6">
        <v>44697</v>
      </c>
    </row>
    <row r="5" spans="1:14" x14ac:dyDescent="0.25">
      <c r="A5" s="4">
        <v>4704</v>
      </c>
      <c r="B5" s="4" t="s">
        <v>59</v>
      </c>
      <c r="C5" s="7" t="s">
        <v>80</v>
      </c>
      <c r="D5" s="7" t="s">
        <v>87</v>
      </c>
      <c r="E5" s="11">
        <v>44617</v>
      </c>
      <c r="F5">
        <v>15</v>
      </c>
      <c r="G5">
        <v>98</v>
      </c>
      <c r="H5">
        <v>1470</v>
      </c>
      <c r="I5">
        <v>30</v>
      </c>
      <c r="J5">
        <v>15</v>
      </c>
      <c r="K5">
        <v>20</v>
      </c>
      <c r="N5" s="6">
        <v>44697</v>
      </c>
    </row>
    <row r="6" spans="1:14" x14ac:dyDescent="0.25">
      <c r="A6" s="4">
        <v>4706</v>
      </c>
      <c r="B6" s="4" t="s">
        <v>61</v>
      </c>
      <c r="C6" s="7" t="s">
        <v>80</v>
      </c>
      <c r="D6" s="7" t="s">
        <v>89</v>
      </c>
      <c r="E6" s="11">
        <v>44617</v>
      </c>
      <c r="F6">
        <v>25</v>
      </c>
      <c r="G6">
        <v>44</v>
      </c>
      <c r="H6">
        <v>1100</v>
      </c>
      <c r="I6">
        <v>40</v>
      </c>
      <c r="J6">
        <v>15</v>
      </c>
      <c r="K6">
        <v>50</v>
      </c>
      <c r="N6" s="6"/>
    </row>
    <row r="7" spans="1:14" x14ac:dyDescent="0.25">
      <c r="A7" s="4">
        <v>4707</v>
      </c>
      <c r="B7" s="4" t="s">
        <v>62</v>
      </c>
      <c r="C7" s="7" t="s">
        <v>80</v>
      </c>
      <c r="D7" s="7" t="s">
        <v>90</v>
      </c>
      <c r="E7" s="11">
        <v>44617</v>
      </c>
      <c r="F7">
        <v>30</v>
      </c>
      <c r="G7">
        <v>60</v>
      </c>
      <c r="H7">
        <v>1800</v>
      </c>
      <c r="I7">
        <v>40</v>
      </c>
      <c r="J7">
        <v>10</v>
      </c>
      <c r="K7">
        <v>35</v>
      </c>
    </row>
    <row r="8" spans="1:14" x14ac:dyDescent="0.25">
      <c r="A8" s="4">
        <v>4719</v>
      </c>
      <c r="B8" s="1" t="s">
        <v>74</v>
      </c>
      <c r="C8" s="14" t="s">
        <v>80</v>
      </c>
      <c r="D8" s="14" t="s">
        <v>84</v>
      </c>
      <c r="E8" s="11">
        <v>44633</v>
      </c>
      <c r="F8">
        <v>23</v>
      </c>
      <c r="G8">
        <v>78</v>
      </c>
      <c r="H8">
        <v>1794</v>
      </c>
      <c r="I8">
        <v>40</v>
      </c>
      <c r="J8">
        <v>17</v>
      </c>
      <c r="K8">
        <v>60</v>
      </c>
      <c r="N8" s="6"/>
    </row>
    <row r="9" spans="1:14" x14ac:dyDescent="0.25">
      <c r="A9" s="4">
        <v>4705</v>
      </c>
      <c r="B9" s="4" t="s">
        <v>60</v>
      </c>
      <c r="C9" s="7" t="s">
        <v>80</v>
      </c>
      <c r="D9" s="7" t="s">
        <v>88</v>
      </c>
      <c r="E9" s="11">
        <v>44617</v>
      </c>
      <c r="F9">
        <v>20</v>
      </c>
      <c r="G9">
        <v>78</v>
      </c>
      <c r="H9">
        <v>1560</v>
      </c>
      <c r="I9">
        <v>50</v>
      </c>
      <c r="J9">
        <v>30</v>
      </c>
      <c r="K9">
        <v>90</v>
      </c>
      <c r="N9">
        <v>72</v>
      </c>
    </row>
    <row r="10" spans="1:14" x14ac:dyDescent="0.25">
      <c r="A10" s="4">
        <v>4714</v>
      </c>
      <c r="B10" s="1" t="s">
        <v>69</v>
      </c>
      <c r="C10" s="14" t="s">
        <v>80</v>
      </c>
      <c r="D10" s="14" t="s">
        <v>97</v>
      </c>
      <c r="E10" s="11">
        <v>44625</v>
      </c>
      <c r="F10">
        <v>40</v>
      </c>
      <c r="G10">
        <v>30</v>
      </c>
      <c r="H10">
        <v>1200</v>
      </c>
      <c r="I10">
        <v>50</v>
      </c>
      <c r="J10">
        <v>10</v>
      </c>
      <c r="K10">
        <v>40</v>
      </c>
    </row>
    <row r="11" spans="1:14" x14ac:dyDescent="0.25">
      <c r="A11" s="4">
        <v>4720</v>
      </c>
      <c r="B11" s="1" t="s">
        <v>75</v>
      </c>
      <c r="C11" s="14" t="s">
        <v>81</v>
      </c>
      <c r="D11" s="14" t="s">
        <v>101</v>
      </c>
      <c r="E11" s="11">
        <v>44633</v>
      </c>
      <c r="F11">
        <v>45</v>
      </c>
      <c r="G11">
        <v>78</v>
      </c>
      <c r="H11">
        <v>3510</v>
      </c>
      <c r="I11">
        <v>50</v>
      </c>
      <c r="J11">
        <v>5</v>
      </c>
      <c r="K11">
        <v>80</v>
      </c>
      <c r="N11" s="6"/>
    </row>
    <row r="12" spans="1:14" x14ac:dyDescent="0.25">
      <c r="A12" s="1">
        <v>4721</v>
      </c>
      <c r="B12" s="1" t="s">
        <v>76</v>
      </c>
      <c r="C12" s="14" t="s">
        <v>80</v>
      </c>
      <c r="D12" s="14" t="s">
        <v>102</v>
      </c>
      <c r="E12" s="11">
        <v>44633</v>
      </c>
      <c r="F12">
        <v>69</v>
      </c>
      <c r="G12">
        <v>34</v>
      </c>
      <c r="H12">
        <v>2346</v>
      </c>
      <c r="I12">
        <v>50</v>
      </c>
      <c r="J12">
        <v>-19</v>
      </c>
      <c r="K12">
        <v>80</v>
      </c>
      <c r="N12" s="6"/>
    </row>
    <row r="13" spans="1:14" x14ac:dyDescent="0.25">
      <c r="A13" s="4">
        <v>4708</v>
      </c>
      <c r="B13" s="4" t="s">
        <v>63</v>
      </c>
      <c r="C13" s="7" t="s">
        <v>80</v>
      </c>
      <c r="D13" s="7" t="s">
        <v>91</v>
      </c>
      <c r="E13" s="11">
        <v>44625</v>
      </c>
      <c r="F13">
        <v>35</v>
      </c>
      <c r="G13">
        <v>67</v>
      </c>
      <c r="H13">
        <v>2345</v>
      </c>
      <c r="I13">
        <v>60</v>
      </c>
      <c r="J13">
        <v>25</v>
      </c>
      <c r="K13">
        <v>70</v>
      </c>
    </row>
    <row r="14" spans="1:14" x14ac:dyDescent="0.25">
      <c r="A14" s="4">
        <v>4710</v>
      </c>
      <c r="B14" s="4" t="s">
        <v>66</v>
      </c>
      <c r="C14" s="7" t="s">
        <v>81</v>
      </c>
      <c r="D14" s="7" t="s">
        <v>93</v>
      </c>
      <c r="E14" s="11">
        <v>44625</v>
      </c>
      <c r="F14">
        <v>60</v>
      </c>
      <c r="G14">
        <v>60</v>
      </c>
      <c r="H14">
        <v>3600</v>
      </c>
      <c r="I14">
        <v>70</v>
      </c>
      <c r="J14">
        <v>10</v>
      </c>
      <c r="K14">
        <v>65</v>
      </c>
      <c r="N14" s="6"/>
    </row>
    <row r="15" spans="1:14" x14ac:dyDescent="0.25">
      <c r="A15" s="4">
        <v>4715</v>
      </c>
      <c r="B15" s="1" t="s">
        <v>70</v>
      </c>
      <c r="C15" s="14" t="s">
        <v>80</v>
      </c>
      <c r="D15" s="14" t="s">
        <v>98</v>
      </c>
      <c r="E15" s="11">
        <v>44625</v>
      </c>
      <c r="F15">
        <v>31</v>
      </c>
      <c r="G15">
        <v>20</v>
      </c>
      <c r="H15">
        <v>620</v>
      </c>
      <c r="I15">
        <v>70</v>
      </c>
      <c r="J15">
        <v>39</v>
      </c>
      <c r="K15">
        <v>35</v>
      </c>
      <c r="N15" s="6"/>
    </row>
    <row r="16" spans="1:14" x14ac:dyDescent="0.25">
      <c r="A16" s="4">
        <v>4716</v>
      </c>
      <c r="B16" s="1" t="s">
        <v>71</v>
      </c>
      <c r="C16" s="14" t="s">
        <v>77</v>
      </c>
      <c r="D16" s="14" t="s">
        <v>99</v>
      </c>
      <c r="E16" s="11">
        <v>44633</v>
      </c>
      <c r="F16">
        <v>69</v>
      </c>
      <c r="G16">
        <v>50</v>
      </c>
      <c r="H16">
        <v>3450</v>
      </c>
      <c r="I16">
        <v>70</v>
      </c>
      <c r="J16">
        <v>1</v>
      </c>
      <c r="K16">
        <v>70</v>
      </c>
    </row>
    <row r="17" spans="1:14" x14ac:dyDescent="0.25">
      <c r="A17" s="4">
        <v>4702</v>
      </c>
      <c r="B17" s="4" t="s">
        <v>79</v>
      </c>
      <c r="C17" s="7" t="s">
        <v>77</v>
      </c>
      <c r="D17" s="7" t="s">
        <v>85</v>
      </c>
      <c r="E17" s="11">
        <v>44617</v>
      </c>
      <c r="F17">
        <v>88</v>
      </c>
      <c r="G17">
        <v>58</v>
      </c>
      <c r="H17">
        <v>5104</v>
      </c>
      <c r="I17">
        <v>100</v>
      </c>
      <c r="J17">
        <v>12</v>
      </c>
      <c r="K17">
        <v>60</v>
      </c>
      <c r="M17" t="s">
        <v>53</v>
      </c>
      <c r="N17" s="6">
        <v>1054</v>
      </c>
    </row>
    <row r="18" spans="1:14" x14ac:dyDescent="0.25">
      <c r="A18" s="4">
        <v>4711</v>
      </c>
      <c r="B18" s="4" t="s">
        <v>67</v>
      </c>
      <c r="C18" s="7" t="s">
        <v>81</v>
      </c>
      <c r="D18" s="7" t="s">
        <v>94</v>
      </c>
      <c r="E18" s="11">
        <v>44625</v>
      </c>
      <c r="F18">
        <v>70</v>
      </c>
      <c r="G18">
        <v>50</v>
      </c>
      <c r="H18">
        <v>3500</v>
      </c>
      <c r="I18">
        <v>100</v>
      </c>
      <c r="J18">
        <v>30</v>
      </c>
      <c r="K18">
        <v>60</v>
      </c>
    </row>
    <row r="19" spans="1:14" x14ac:dyDescent="0.25">
      <c r="A19" s="4">
        <v>4712</v>
      </c>
      <c r="B19" s="4" t="s">
        <v>65</v>
      </c>
      <c r="C19" s="7" t="s">
        <v>81</v>
      </c>
      <c r="D19" s="7" t="s">
        <v>95</v>
      </c>
      <c r="E19" s="11">
        <v>44625</v>
      </c>
      <c r="F19">
        <v>80</v>
      </c>
      <c r="G19">
        <v>23</v>
      </c>
      <c r="H19">
        <v>1840</v>
      </c>
      <c r="I19">
        <v>100</v>
      </c>
      <c r="J19">
        <v>20</v>
      </c>
      <c r="K19">
        <v>30</v>
      </c>
      <c r="N19" s="6"/>
    </row>
    <row r="20" spans="1:14" x14ac:dyDescent="0.25">
      <c r="A20" s="4">
        <v>4713</v>
      </c>
      <c r="B20" s="1" t="s">
        <v>68</v>
      </c>
      <c r="C20" s="14" t="s">
        <v>80</v>
      </c>
      <c r="D20" s="14" t="s">
        <v>96</v>
      </c>
      <c r="E20" s="11">
        <v>44625</v>
      </c>
      <c r="F20">
        <v>90</v>
      </c>
      <c r="G20">
        <v>40</v>
      </c>
      <c r="H20">
        <v>3600</v>
      </c>
      <c r="I20">
        <v>100</v>
      </c>
      <c r="J20">
        <v>10</v>
      </c>
      <c r="K20">
        <v>45</v>
      </c>
      <c r="N20" s="6"/>
    </row>
    <row r="21" spans="1:14" x14ac:dyDescent="0.25">
      <c r="A21" s="4">
        <v>4717</v>
      </c>
      <c r="B21" s="1" t="s">
        <v>72</v>
      </c>
      <c r="C21" s="14" t="s">
        <v>80</v>
      </c>
      <c r="D21" s="14" t="s">
        <v>86</v>
      </c>
      <c r="E21" s="11">
        <v>44633</v>
      </c>
      <c r="F21">
        <v>70</v>
      </c>
      <c r="G21">
        <v>67</v>
      </c>
      <c r="H21">
        <v>4690</v>
      </c>
      <c r="I21">
        <v>100</v>
      </c>
      <c r="J21">
        <v>30</v>
      </c>
      <c r="K21">
        <v>75</v>
      </c>
      <c r="N21" s="6"/>
    </row>
    <row r="22" spans="1:14" x14ac:dyDescent="0.25">
      <c r="A22" s="4">
        <v>4718</v>
      </c>
      <c r="B22" s="1" t="s">
        <v>73</v>
      </c>
      <c r="C22" s="14" t="s">
        <v>80</v>
      </c>
      <c r="D22" s="14" t="s">
        <v>100</v>
      </c>
      <c r="E22" s="11">
        <v>44633</v>
      </c>
      <c r="F22">
        <v>57</v>
      </c>
      <c r="G22">
        <v>56</v>
      </c>
      <c r="H22">
        <v>3192</v>
      </c>
      <c r="I22">
        <v>100</v>
      </c>
      <c r="J22">
        <v>43</v>
      </c>
      <c r="K22">
        <v>65</v>
      </c>
      <c r="N22" s="6"/>
    </row>
    <row r="23" spans="1:14" x14ac:dyDescent="0.25">
      <c r="A23" s="4">
        <v>4703</v>
      </c>
      <c r="B23" s="4" t="s">
        <v>58</v>
      </c>
      <c r="C23" s="7" t="s">
        <v>80</v>
      </c>
      <c r="D23" s="7" t="s">
        <v>86</v>
      </c>
      <c r="E23" s="11">
        <v>44617</v>
      </c>
      <c r="F23">
        <v>100</v>
      </c>
      <c r="G23">
        <v>85</v>
      </c>
      <c r="H23">
        <v>8500</v>
      </c>
      <c r="I23">
        <v>200</v>
      </c>
      <c r="J23">
        <v>100</v>
      </c>
      <c r="K23">
        <v>90</v>
      </c>
      <c r="M23" t="s">
        <v>54</v>
      </c>
      <c r="N23" s="6"/>
    </row>
    <row r="24" spans="1:14" x14ac:dyDescent="0.25">
      <c r="A24"/>
      <c r="B24"/>
      <c r="C24"/>
      <c r="D24"/>
    </row>
  </sheetData>
  <sortState xmlns:xlrd2="http://schemas.microsoft.com/office/spreadsheetml/2017/richdata2" ref="A2:N24">
    <sortCondition ref="I1"/>
  </sortState>
  <conditionalFormatting sqref="B25:B1048576 B1:B23">
    <cfRule type="duplicateValues" dxfId="0" priority="1"/>
  </conditionalFormatting>
  <dataValidations count="1">
    <dataValidation type="custom" allowBlank="1" showInputMessage="1" showErrorMessage="1" errorTitle="Duplicate" error="Duplicate Entry" sqref="B1:B23 B25:B1048576" xr:uid="{8DF7F4B5-1844-4A1C-A764-EE388FF234AC}">
      <formula1>COUNTIF($B:$B,B1)&lt;2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C9"/>
  <sheetViews>
    <sheetView showGridLines="0" workbookViewId="0">
      <selection activeCell="C4" sqref="C4:C8"/>
    </sheetView>
  </sheetViews>
  <sheetFormatPr defaultRowHeight="15" x14ac:dyDescent="0.25"/>
  <cols>
    <col min="1" max="1" width="6.28515625" customWidth="1"/>
    <col min="2" max="2" width="17.42578125" customWidth="1"/>
    <col min="3" max="3" width="20" customWidth="1"/>
  </cols>
  <sheetData>
    <row r="1" spans="2:3" x14ac:dyDescent="0.25">
      <c r="B1" t="s">
        <v>23</v>
      </c>
      <c r="C1" s="13">
        <v>44688</v>
      </c>
    </row>
    <row r="2" spans="2:3" x14ac:dyDescent="0.25">
      <c r="B2" t="s">
        <v>24</v>
      </c>
      <c r="C2" s="13">
        <v>44688</v>
      </c>
    </row>
    <row r="3" spans="2:3" x14ac:dyDescent="0.25">
      <c r="C3" s="11"/>
    </row>
    <row r="4" spans="2:3" ht="15" customHeight="1" x14ac:dyDescent="0.25">
      <c r="B4" s="3" t="s">
        <v>1</v>
      </c>
      <c r="C4" s="3" t="s">
        <v>21</v>
      </c>
    </row>
    <row r="5" spans="2:3" ht="15" customHeight="1" x14ac:dyDescent="0.25">
      <c r="B5" s="2" t="s">
        <v>20</v>
      </c>
      <c r="C5" s="12">
        <f>SUMIFS(Sale_Purchase!F:F,Sale_Purchase!C:C,Report!B5,Sale_Purchase!G:G,"&gt;="&amp;$C$1,Sale_Purchase!G:G,"&lt;="&amp;$C$2)</f>
        <v>0</v>
      </c>
    </row>
    <row r="6" spans="2:3" ht="15" customHeight="1" x14ac:dyDescent="0.25">
      <c r="B6" s="2" t="s">
        <v>19</v>
      </c>
      <c r="C6" s="12">
        <f>SUMIFS(Sale_Purchase!F:F,Sale_Purchase!C:C,Report!B6,Sale_Purchase!G:G,"&gt;="&amp;$C$1,Sale_Purchase!G:G,"&lt;="&amp;$C$2)</f>
        <v>0</v>
      </c>
    </row>
    <row r="7" spans="2:3" x14ac:dyDescent="0.25">
      <c r="B7" s="2" t="s">
        <v>25</v>
      </c>
      <c r="C7" s="12">
        <f>SUMIFS(Sale_Purchase!H:H,Sale_Purchase!G:G,"&gt;="&amp;$C$1,Sale_Purchase!G:G,"&lt;="&amp;$C$2)</f>
        <v>0</v>
      </c>
    </row>
    <row r="8" spans="2:3" x14ac:dyDescent="0.25">
      <c r="B8" s="2" t="s">
        <v>28</v>
      </c>
      <c r="C8" s="2">
        <f>SUM(Inventory!D:D)</f>
        <v>0</v>
      </c>
    </row>
    <row r="9" spans="2:3" x14ac:dyDescent="0.25">
      <c r="B9" s="2" t="s">
        <v>29</v>
      </c>
      <c r="C9" s="12">
        <f>SUM(Inventory!E:E)</f>
        <v>981734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23"/>
  <sheetViews>
    <sheetView showGridLines="0" workbookViewId="0">
      <selection sqref="A1:N24"/>
    </sheetView>
  </sheetViews>
  <sheetFormatPr defaultRowHeight="15" x14ac:dyDescent="0.25"/>
  <cols>
    <col min="1" max="5" width="15" customWidth="1"/>
  </cols>
  <sheetData>
    <row r="1" spans="1:14" x14ac:dyDescent="0.25">
      <c r="A1" t="s">
        <v>43</v>
      </c>
      <c r="B1" t="s">
        <v>44</v>
      </c>
      <c r="C1" s="8" t="s">
        <v>45</v>
      </c>
      <c r="D1" s="8" t="s">
        <v>46</v>
      </c>
      <c r="E1" t="s">
        <v>47</v>
      </c>
      <c r="F1" t="s">
        <v>26</v>
      </c>
      <c r="G1" t="s">
        <v>49</v>
      </c>
      <c r="H1" t="s">
        <v>50</v>
      </c>
      <c r="I1" t="s">
        <v>56</v>
      </c>
      <c r="J1" t="s">
        <v>19</v>
      </c>
      <c r="K1" t="s">
        <v>55</v>
      </c>
      <c r="N1">
        <v>431</v>
      </c>
    </row>
    <row r="2" spans="1:14" x14ac:dyDescent="0.25">
      <c r="A2">
        <v>4709</v>
      </c>
      <c r="B2" t="s">
        <v>64</v>
      </c>
      <c r="C2" s="8" t="s">
        <v>80</v>
      </c>
      <c r="D2" s="8" t="s">
        <v>92</v>
      </c>
      <c r="E2" s="6">
        <v>44625</v>
      </c>
      <c r="F2">
        <v>10</v>
      </c>
      <c r="G2">
        <v>78</v>
      </c>
      <c r="H2">
        <v>780</v>
      </c>
      <c r="I2">
        <v>15</v>
      </c>
      <c r="J2">
        <v>5</v>
      </c>
      <c r="K2">
        <v>80</v>
      </c>
      <c r="N2" s="6"/>
    </row>
    <row r="3" spans="1:14" x14ac:dyDescent="0.25">
      <c r="A3">
        <v>4701</v>
      </c>
      <c r="B3" t="s">
        <v>57</v>
      </c>
      <c r="C3" s="8" t="s">
        <v>77</v>
      </c>
      <c r="D3" s="8" t="s">
        <v>83</v>
      </c>
      <c r="E3" s="6">
        <v>44617</v>
      </c>
      <c r="F3">
        <v>12</v>
      </c>
      <c r="G3">
        <v>68</v>
      </c>
      <c r="H3">
        <v>816</v>
      </c>
      <c r="I3">
        <v>20</v>
      </c>
      <c r="J3">
        <v>8</v>
      </c>
      <c r="K3">
        <v>80</v>
      </c>
      <c r="M3" t="s">
        <v>52</v>
      </c>
      <c r="N3">
        <v>58257</v>
      </c>
    </row>
    <row r="4" spans="1:14" x14ac:dyDescent="0.25">
      <c r="A4">
        <v>4700</v>
      </c>
      <c r="B4" t="s">
        <v>78</v>
      </c>
      <c r="C4" s="8" t="s">
        <v>77</v>
      </c>
      <c r="D4" s="8" t="s">
        <v>82</v>
      </c>
      <c r="E4" s="6">
        <v>44617</v>
      </c>
      <c r="F4">
        <v>15</v>
      </c>
      <c r="G4">
        <v>96</v>
      </c>
      <c r="H4">
        <v>1440</v>
      </c>
      <c r="I4">
        <v>30</v>
      </c>
      <c r="J4">
        <v>15</v>
      </c>
      <c r="K4">
        <v>110</v>
      </c>
      <c r="M4" t="s">
        <v>51</v>
      </c>
      <c r="N4" s="6"/>
    </row>
    <row r="5" spans="1:14" x14ac:dyDescent="0.25">
      <c r="A5">
        <v>4704</v>
      </c>
      <c r="B5" t="s">
        <v>59</v>
      </c>
      <c r="C5" s="8" t="s">
        <v>80</v>
      </c>
      <c r="D5" s="8" t="s">
        <v>87</v>
      </c>
      <c r="E5" s="6">
        <v>44617</v>
      </c>
      <c r="F5">
        <v>15</v>
      </c>
      <c r="G5">
        <v>98</v>
      </c>
      <c r="H5">
        <v>1470</v>
      </c>
      <c r="I5">
        <v>30</v>
      </c>
      <c r="J5">
        <v>15</v>
      </c>
      <c r="K5">
        <v>20</v>
      </c>
      <c r="N5" s="6"/>
    </row>
    <row r="6" spans="1:14" x14ac:dyDescent="0.25">
      <c r="A6">
        <v>4706</v>
      </c>
      <c r="B6" t="s">
        <v>61</v>
      </c>
      <c r="C6" s="8" t="s">
        <v>80</v>
      </c>
      <c r="D6" s="8" t="s">
        <v>89</v>
      </c>
      <c r="E6" s="6">
        <v>44617</v>
      </c>
      <c r="F6">
        <v>25</v>
      </c>
      <c r="G6">
        <v>44</v>
      </c>
      <c r="H6">
        <v>1100</v>
      </c>
      <c r="I6">
        <v>40</v>
      </c>
      <c r="J6">
        <v>15</v>
      </c>
      <c r="K6">
        <v>50</v>
      </c>
      <c r="N6" s="6"/>
    </row>
    <row r="7" spans="1:14" x14ac:dyDescent="0.25">
      <c r="A7">
        <v>4707</v>
      </c>
      <c r="B7" t="s">
        <v>62</v>
      </c>
      <c r="C7" s="8" t="s">
        <v>80</v>
      </c>
      <c r="D7" s="8" t="s">
        <v>90</v>
      </c>
      <c r="E7" s="6">
        <v>44617</v>
      </c>
      <c r="F7">
        <v>30</v>
      </c>
      <c r="G7">
        <v>60</v>
      </c>
      <c r="H7">
        <v>1800</v>
      </c>
      <c r="I7">
        <v>40</v>
      </c>
      <c r="J7">
        <v>10</v>
      </c>
      <c r="K7">
        <v>35</v>
      </c>
    </row>
    <row r="8" spans="1:14" x14ac:dyDescent="0.25">
      <c r="A8">
        <v>4719</v>
      </c>
      <c r="B8" t="s">
        <v>74</v>
      </c>
      <c r="C8" s="8" t="s">
        <v>80</v>
      </c>
      <c r="D8" s="8" t="s">
        <v>84</v>
      </c>
      <c r="E8" s="6">
        <v>44633</v>
      </c>
      <c r="F8">
        <v>23</v>
      </c>
      <c r="G8">
        <v>78</v>
      </c>
      <c r="H8">
        <v>1794</v>
      </c>
      <c r="I8">
        <v>40</v>
      </c>
      <c r="J8">
        <v>17</v>
      </c>
      <c r="K8">
        <v>60</v>
      </c>
      <c r="N8" s="6"/>
    </row>
    <row r="9" spans="1:14" x14ac:dyDescent="0.25">
      <c r="A9">
        <v>4705</v>
      </c>
      <c r="B9" t="s">
        <v>60</v>
      </c>
      <c r="C9" s="8" t="s">
        <v>80</v>
      </c>
      <c r="D9" s="8" t="s">
        <v>88</v>
      </c>
      <c r="E9" s="6">
        <v>44617</v>
      </c>
      <c r="F9">
        <v>20</v>
      </c>
      <c r="G9">
        <v>78</v>
      </c>
      <c r="H9">
        <v>1560</v>
      </c>
      <c r="I9">
        <v>50</v>
      </c>
      <c r="J9">
        <v>30</v>
      </c>
      <c r="K9">
        <v>90</v>
      </c>
      <c r="N9">
        <v>72</v>
      </c>
    </row>
    <row r="10" spans="1:14" x14ac:dyDescent="0.25">
      <c r="A10">
        <v>4714</v>
      </c>
      <c r="B10" t="s">
        <v>69</v>
      </c>
      <c r="C10" s="8" t="s">
        <v>80</v>
      </c>
      <c r="D10" s="8" t="s">
        <v>97</v>
      </c>
      <c r="E10" s="6">
        <v>44625</v>
      </c>
      <c r="F10">
        <v>40</v>
      </c>
      <c r="G10">
        <v>30</v>
      </c>
      <c r="H10">
        <v>1200</v>
      </c>
      <c r="I10">
        <v>50</v>
      </c>
      <c r="J10">
        <v>10</v>
      </c>
      <c r="K10">
        <v>40</v>
      </c>
    </row>
    <row r="11" spans="1:14" x14ac:dyDescent="0.25">
      <c r="A11">
        <v>4720</v>
      </c>
      <c r="B11" t="s">
        <v>75</v>
      </c>
      <c r="C11" s="8" t="s">
        <v>81</v>
      </c>
      <c r="D11" s="8" t="s">
        <v>101</v>
      </c>
      <c r="E11" s="6">
        <v>44633</v>
      </c>
      <c r="F11">
        <v>45</v>
      </c>
      <c r="G11">
        <v>78</v>
      </c>
      <c r="H11">
        <v>3510</v>
      </c>
      <c r="I11">
        <v>50</v>
      </c>
      <c r="J11">
        <v>5</v>
      </c>
      <c r="K11">
        <v>80</v>
      </c>
      <c r="N11" s="6"/>
    </row>
    <row r="12" spans="1:14" x14ac:dyDescent="0.25">
      <c r="A12">
        <v>4721</v>
      </c>
      <c r="B12" t="s">
        <v>76</v>
      </c>
      <c r="C12" s="8" t="s">
        <v>80</v>
      </c>
      <c r="D12" s="8" t="s">
        <v>102</v>
      </c>
      <c r="E12" s="6">
        <v>44633</v>
      </c>
      <c r="F12">
        <v>69</v>
      </c>
      <c r="G12">
        <v>34</v>
      </c>
      <c r="H12">
        <v>2346</v>
      </c>
      <c r="I12">
        <v>50</v>
      </c>
      <c r="J12">
        <v>-19</v>
      </c>
      <c r="K12">
        <v>80</v>
      </c>
      <c r="N12" s="6"/>
    </row>
    <row r="13" spans="1:14" x14ac:dyDescent="0.25">
      <c r="A13">
        <v>4708</v>
      </c>
      <c r="B13" t="s">
        <v>63</v>
      </c>
      <c r="C13" s="8" t="s">
        <v>80</v>
      </c>
      <c r="D13" s="8" t="s">
        <v>91</v>
      </c>
      <c r="E13" s="6">
        <v>44625</v>
      </c>
      <c r="F13">
        <v>35</v>
      </c>
      <c r="G13">
        <v>67</v>
      </c>
      <c r="H13">
        <v>2345</v>
      </c>
      <c r="I13">
        <v>60</v>
      </c>
      <c r="J13">
        <v>25</v>
      </c>
      <c r="K13">
        <v>70</v>
      </c>
    </row>
    <row r="14" spans="1:14" x14ac:dyDescent="0.25">
      <c r="A14">
        <v>4710</v>
      </c>
      <c r="B14" t="s">
        <v>66</v>
      </c>
      <c r="C14" s="8" t="s">
        <v>81</v>
      </c>
      <c r="D14" s="8" t="s">
        <v>93</v>
      </c>
      <c r="E14" s="6">
        <v>44625</v>
      </c>
      <c r="F14">
        <v>60</v>
      </c>
      <c r="G14">
        <v>60</v>
      </c>
      <c r="H14">
        <v>3600</v>
      </c>
      <c r="I14">
        <v>70</v>
      </c>
      <c r="J14">
        <v>10</v>
      </c>
      <c r="K14">
        <v>65</v>
      </c>
      <c r="N14" s="6"/>
    </row>
    <row r="15" spans="1:14" x14ac:dyDescent="0.25">
      <c r="A15">
        <v>4715</v>
      </c>
      <c r="B15" t="s">
        <v>70</v>
      </c>
      <c r="C15" s="8" t="s">
        <v>80</v>
      </c>
      <c r="D15" s="8" t="s">
        <v>98</v>
      </c>
      <c r="E15" s="6">
        <v>44625</v>
      </c>
      <c r="F15">
        <v>31</v>
      </c>
      <c r="G15">
        <v>20</v>
      </c>
      <c r="H15">
        <v>620</v>
      </c>
      <c r="I15">
        <v>70</v>
      </c>
      <c r="J15">
        <v>39</v>
      </c>
      <c r="K15">
        <v>35</v>
      </c>
      <c r="N15" s="6"/>
    </row>
    <row r="16" spans="1:14" x14ac:dyDescent="0.25">
      <c r="A16">
        <v>4716</v>
      </c>
      <c r="B16" t="s">
        <v>71</v>
      </c>
      <c r="C16" s="8" t="s">
        <v>77</v>
      </c>
      <c r="D16" s="8" t="s">
        <v>99</v>
      </c>
      <c r="E16" s="6">
        <v>44633</v>
      </c>
      <c r="F16">
        <v>69</v>
      </c>
      <c r="G16">
        <v>50</v>
      </c>
      <c r="H16">
        <v>3450</v>
      </c>
      <c r="I16">
        <v>70</v>
      </c>
      <c r="J16">
        <v>1</v>
      </c>
      <c r="K16">
        <v>70</v>
      </c>
    </row>
    <row r="17" spans="1:14" x14ac:dyDescent="0.25">
      <c r="A17">
        <v>4702</v>
      </c>
      <c r="B17" t="s">
        <v>79</v>
      </c>
      <c r="C17" s="8" t="s">
        <v>77</v>
      </c>
      <c r="D17" s="8" t="s">
        <v>85</v>
      </c>
      <c r="E17" s="6">
        <v>44617</v>
      </c>
      <c r="F17">
        <v>88</v>
      </c>
      <c r="G17">
        <v>58</v>
      </c>
      <c r="H17">
        <v>5104</v>
      </c>
      <c r="I17">
        <v>100</v>
      </c>
      <c r="J17">
        <v>12</v>
      </c>
      <c r="K17">
        <v>60</v>
      </c>
      <c r="M17" t="s">
        <v>53</v>
      </c>
      <c r="N17" s="6">
        <v>1054</v>
      </c>
    </row>
    <row r="18" spans="1:14" x14ac:dyDescent="0.25">
      <c r="A18">
        <v>4711</v>
      </c>
      <c r="B18" t="s">
        <v>67</v>
      </c>
      <c r="C18" s="8" t="s">
        <v>81</v>
      </c>
      <c r="D18" s="8" t="s">
        <v>94</v>
      </c>
      <c r="E18" s="6">
        <v>44625</v>
      </c>
      <c r="F18">
        <v>70</v>
      </c>
      <c r="G18">
        <v>50</v>
      </c>
      <c r="H18">
        <v>3500</v>
      </c>
      <c r="I18">
        <v>100</v>
      </c>
      <c r="J18">
        <v>30</v>
      </c>
      <c r="K18">
        <v>60</v>
      </c>
    </row>
    <row r="19" spans="1:14" x14ac:dyDescent="0.25">
      <c r="A19">
        <v>4712</v>
      </c>
      <c r="B19" t="s">
        <v>65</v>
      </c>
      <c r="C19" s="8" t="s">
        <v>81</v>
      </c>
      <c r="D19" s="8" t="s">
        <v>95</v>
      </c>
      <c r="E19" s="6">
        <v>44625</v>
      </c>
      <c r="F19">
        <v>80</v>
      </c>
      <c r="G19">
        <v>23</v>
      </c>
      <c r="H19">
        <v>1840</v>
      </c>
      <c r="I19">
        <v>100</v>
      </c>
      <c r="J19">
        <v>20</v>
      </c>
      <c r="K19">
        <v>30</v>
      </c>
      <c r="N19" s="6"/>
    </row>
    <row r="20" spans="1:14" x14ac:dyDescent="0.25">
      <c r="A20">
        <v>4713</v>
      </c>
      <c r="B20" t="s">
        <v>68</v>
      </c>
      <c r="C20" s="8" t="s">
        <v>80</v>
      </c>
      <c r="D20" s="8" t="s">
        <v>96</v>
      </c>
      <c r="E20" s="6">
        <v>44625</v>
      </c>
      <c r="F20">
        <v>90</v>
      </c>
      <c r="G20">
        <v>40</v>
      </c>
      <c r="H20">
        <v>3600</v>
      </c>
      <c r="I20">
        <v>100</v>
      </c>
      <c r="J20">
        <v>10</v>
      </c>
      <c r="K20">
        <v>45</v>
      </c>
      <c r="N20" s="6"/>
    </row>
    <row r="21" spans="1:14" x14ac:dyDescent="0.25">
      <c r="A21">
        <v>4717</v>
      </c>
      <c r="B21" t="s">
        <v>72</v>
      </c>
      <c r="C21" s="8" t="s">
        <v>80</v>
      </c>
      <c r="D21" s="8" t="s">
        <v>86</v>
      </c>
      <c r="E21" s="6">
        <v>44633</v>
      </c>
      <c r="F21">
        <v>70</v>
      </c>
      <c r="G21">
        <v>67</v>
      </c>
      <c r="H21">
        <v>4690</v>
      </c>
      <c r="I21">
        <v>100</v>
      </c>
      <c r="J21">
        <v>30</v>
      </c>
      <c r="K21">
        <v>75</v>
      </c>
      <c r="N21" s="6"/>
    </row>
    <row r="22" spans="1:14" x14ac:dyDescent="0.25">
      <c r="A22">
        <v>4718</v>
      </c>
      <c r="B22" t="s">
        <v>73</v>
      </c>
      <c r="C22" s="8" t="s">
        <v>80</v>
      </c>
      <c r="D22" s="8" t="s">
        <v>100</v>
      </c>
      <c r="E22" s="6">
        <v>44633</v>
      </c>
      <c r="F22">
        <v>57</v>
      </c>
      <c r="G22">
        <v>56</v>
      </c>
      <c r="H22">
        <v>3192</v>
      </c>
      <c r="I22">
        <v>100</v>
      </c>
      <c r="J22">
        <v>43</v>
      </c>
      <c r="K22">
        <v>65</v>
      </c>
      <c r="N22" s="6"/>
    </row>
    <row r="23" spans="1:14" x14ac:dyDescent="0.25">
      <c r="A23">
        <v>4703</v>
      </c>
      <c r="B23" t="s">
        <v>58</v>
      </c>
      <c r="C23" s="8" t="s">
        <v>80</v>
      </c>
      <c r="D23" s="8" t="s">
        <v>86</v>
      </c>
      <c r="E23" s="6">
        <v>44617</v>
      </c>
      <c r="F23">
        <v>100</v>
      </c>
      <c r="G23">
        <v>85</v>
      </c>
      <c r="H23">
        <v>8500</v>
      </c>
      <c r="I23">
        <v>200</v>
      </c>
      <c r="J23">
        <v>100</v>
      </c>
      <c r="K23">
        <v>90</v>
      </c>
      <c r="M23" t="s">
        <v>54</v>
      </c>
      <c r="N23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Settings</vt:lpstr>
      <vt:lpstr>Report Print</vt:lpstr>
      <vt:lpstr>Product_Master</vt:lpstr>
      <vt:lpstr>Sale_Purchase</vt:lpstr>
      <vt:lpstr>Sale_Purchase_Display</vt:lpstr>
      <vt:lpstr>Inventory</vt:lpstr>
      <vt:lpstr>Report</vt:lpstr>
      <vt:lpstr>Inventory_Display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User</cp:lastModifiedBy>
  <cp:lastPrinted>2021-05-30T04:45:56Z</cp:lastPrinted>
  <dcterms:created xsi:type="dcterms:W3CDTF">2020-01-29T10:59:23Z</dcterms:created>
  <dcterms:modified xsi:type="dcterms:W3CDTF">2022-05-15T16:12:06Z</dcterms:modified>
</cp:coreProperties>
</file>